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nicius\Downloads\"/>
    </mc:Choice>
  </mc:AlternateContent>
  <xr:revisionPtr revIDLastSave="0" documentId="13_ncr:1_{625112A3-4934-4D5A-97F2-BA329A4A564E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icial" sheetId="2" r:id="rId1"/>
    <sheet name="CadPericia" sheetId="6" r:id="rId2"/>
    <sheet name="CadPenhor" sheetId="5" r:id="rId3"/>
    <sheet name="Adiantamento" sheetId="30" r:id="rId4"/>
    <sheet name="Despesas" sheetId="27" r:id="rId5"/>
    <sheet name="ContasAreceber" sheetId="17" r:id="rId6"/>
    <sheet name="ContasApagar" sheetId="16" r:id="rId7"/>
    <sheet name="Vistoria" sheetId="25" r:id="rId8"/>
    <sheet name="DashResultado" sheetId="26" r:id="rId9"/>
    <sheet name="DashboardAReceber" sheetId="22" r:id="rId10"/>
    <sheet name="TbDinamicaReceber" sheetId="23" r:id="rId11"/>
    <sheet name="DashboardApagar" sheetId="21" r:id="rId12"/>
    <sheet name="TbDinamicaApagar" sheetId="24" r:id="rId13"/>
    <sheet name="TbDinamicaDespesas" sheetId="29" r:id="rId14"/>
    <sheet name="RelDespesas" sheetId="28" r:id="rId15"/>
    <sheet name="RelContasApagar" sheetId="18" r:id="rId16"/>
    <sheet name="RelContasAReceber" sheetId="20" r:id="rId17"/>
    <sheet name="CadSeguradora" sheetId="1" r:id="rId18"/>
    <sheet name="CadPerito" sheetId="7" r:id="rId19"/>
    <sheet name="Cultura" sheetId="11" r:id="rId20"/>
    <sheet name="Sinistro" sheetId="10" r:id="rId21"/>
    <sheet name="TipoBenSeg" sheetId="8" r:id="rId22"/>
    <sheet name="TipoVistoria" sheetId="9" r:id="rId23"/>
    <sheet name="Cidades" sheetId="4" r:id="rId24"/>
    <sheet name="Estados" sheetId="3" r:id="rId25"/>
  </sheets>
  <definedNames>
    <definedName name="_xlnm._FilterDatabase" localSheetId="2" hidden="1">CadPenhor!$B$1:$AG$2</definedName>
    <definedName name="_xlnm._FilterDatabase" localSheetId="1" hidden="1">CadPericia!$B$1:$AD$1</definedName>
    <definedName name="_xlnm._FilterDatabase" localSheetId="6" hidden="1">ContasApagar!$B$1:$S$2</definedName>
    <definedName name="_xlnm._FilterDatabase" localSheetId="5" hidden="1">ContasAreceber!$A$1:$W$2</definedName>
    <definedName name="_xlnm._FilterDatabase" localSheetId="4" hidden="1">Despesas!$A$1:$I$2</definedName>
    <definedName name="_xlnm._FilterDatabase" localSheetId="16" hidden="1">RelContasAReceber!$A$7:$R$7</definedName>
    <definedName name="Adto">TipoVistoria!$D:$D</definedName>
    <definedName name="_xlnm.Extract" localSheetId="1">CadPericia!#REF!</definedName>
    <definedName name="_xlnm.Extract" localSheetId="0">Inicial!#REF!</definedName>
    <definedName name="_xlnm.Extract" localSheetId="15">RelContasApagar!$A$7:$R$7</definedName>
    <definedName name="_xlnm.Extract" localSheetId="16">RelContasAReceber!$A$7:$R$7</definedName>
    <definedName name="_xlnm.Extract" localSheetId="14">RelDespesas!$A$4:$E$4</definedName>
    <definedName name="cidades">Cidades!$A:$A</definedName>
    <definedName name="_xlnm.Criteria" localSheetId="1">CadPericia!#REF!</definedName>
    <definedName name="_xlnm.Criteria" localSheetId="0">Inicial!$J$2:$N$3</definedName>
    <definedName name="_xlnm.Criteria" localSheetId="15">RelContasApagar!$T$2:$Y$3</definedName>
    <definedName name="_xlnm.Criteria" localSheetId="16">RelContasAReceber!$T$2:$Y$3</definedName>
    <definedName name="_xlnm.Criteria" localSheetId="14">RelDespesas!$T$2:$Y$3</definedName>
    <definedName name="_xlnm.Criteria" localSheetId="10">TbDinamicaReceber!$T$2:$Y$3</definedName>
    <definedName name="_xlnm.Criteria" localSheetId="7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6"/>
    <pivotCache cacheId="1" r:id="rId27"/>
    <pivotCache cacheId="2" r:id="rId28"/>
    <pivotCache cacheId="3" r:id="rId29"/>
    <pivotCache cacheId="4" r:id="rId30"/>
  </pivotCaches>
  <extLst>
    <ext xmlns:x14="http://schemas.microsoft.com/office/spreadsheetml/2009/9/main" uri="{876F7934-8845-4945-9796-88D515C7AA90}">
      <x14:pivotCaches>
        <pivotCache cacheId="5" r:id="rId31"/>
      </x14:pivotCaches>
    </ext>
    <ext xmlns:x14="http://schemas.microsoft.com/office/spreadsheetml/2009/9/main" uri="{BBE1A952-AA13-448e-AADC-164F8A28A991}">
      <x14:slicerCaches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8" l="1"/>
  <c r="U3" i="18"/>
  <c r="V3" i="18"/>
  <c r="W3" i="18"/>
  <c r="X3" i="18"/>
  <c r="Y3" i="18"/>
  <c r="AJ4" i="23"/>
  <c r="AJ5" i="23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H4" i="23"/>
  <c r="AH5" i="23"/>
  <c r="AH6" i="23"/>
  <c r="AH7" i="23"/>
  <c r="AH8" i="23"/>
  <c r="AH9" i="23"/>
  <c r="AH10" i="23"/>
  <c r="AH11" i="23"/>
  <c r="AH12" i="23"/>
  <c r="AH13" i="23"/>
  <c r="AH14" i="23"/>
  <c r="AH15" i="23"/>
  <c r="AH16" i="23"/>
  <c r="AH17" i="23"/>
  <c r="AH18" i="23"/>
  <c r="AH19" i="23"/>
  <c r="AH20" i="23"/>
  <c r="AH21" i="23"/>
  <c r="AH22" i="23"/>
  <c r="AH23" i="23"/>
  <c r="AH24" i="23"/>
  <c r="AH25" i="23"/>
  <c r="AH26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18" i="23" s="1"/>
  <c r="W6" i="23"/>
  <c r="W7" i="23"/>
  <c r="W8" i="23"/>
  <c r="W9" i="23"/>
  <c r="W10" i="23"/>
  <c r="W11" i="23"/>
  <c r="W12" i="23"/>
  <c r="W13" i="23"/>
  <c r="W14" i="23"/>
  <c r="W15" i="23"/>
  <c r="W16" i="23"/>
  <c r="W17" i="23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4" i="24"/>
  <c r="AI25" i="24"/>
  <c r="AI26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4" i="24"/>
  <c r="AH25" i="24"/>
  <c r="AH26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AJ3" i="23"/>
  <c r="H3" i="21"/>
  <c r="H4" i="22"/>
  <c r="C4" i="26"/>
  <c r="AL27" i="23"/>
  <c r="AK27" i="23"/>
  <c r="AI3" i="23"/>
  <c r="AH3" i="23"/>
  <c r="AI3" i="24"/>
  <c r="AH3" i="24"/>
  <c r="AG3" i="24"/>
  <c r="AJ7" i="24"/>
  <c r="AJ4" i="24"/>
  <c r="AJ5" i="24"/>
  <c r="AJ6" i="24"/>
  <c r="AJ8" i="24"/>
  <c r="AJ9" i="24"/>
  <c r="AJ10" i="24"/>
  <c r="AJ11" i="24"/>
  <c r="AJ12" i="24"/>
  <c r="AJ13" i="24"/>
  <c r="AJ14" i="24"/>
  <c r="AJ15" i="24"/>
  <c r="AJ16" i="24"/>
  <c r="AJ17" i="24"/>
  <c r="AJ18" i="24"/>
  <c r="AJ19" i="24"/>
  <c r="AJ20" i="24"/>
  <c r="AJ21" i="24"/>
  <c r="AJ22" i="24"/>
  <c r="AJ23" i="24"/>
  <c r="AJ24" i="24"/>
  <c r="AJ25" i="24"/>
  <c r="AJ26" i="24"/>
  <c r="AF3" i="24"/>
  <c r="Z3" i="24"/>
  <c r="I3" i="29"/>
  <c r="C6" i="26" s="1"/>
  <c r="AJ3" i="24"/>
  <c r="G3" i="28"/>
  <c r="F3" i="28"/>
  <c r="Y3" i="28"/>
  <c r="X3" i="28"/>
  <c r="W3" i="28"/>
  <c r="V3" i="28"/>
  <c r="U3" i="28"/>
  <c r="T3" i="28"/>
  <c r="C5" i="26"/>
  <c r="AA3" i="24"/>
  <c r="AB3" i="24"/>
  <c r="AC3" i="24"/>
  <c r="AD3" i="24"/>
  <c r="AE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X18" i="23" s="1"/>
  <c r="W3" i="23"/>
  <c r="H3" i="22" l="1"/>
  <c r="AK8" i="23"/>
  <c r="AK20" i="23"/>
  <c r="AK4" i="23"/>
  <c r="AL4" i="23"/>
  <c r="AK24" i="23"/>
  <c r="AK16" i="23"/>
  <c r="AK12" i="23"/>
  <c r="AL22" i="23"/>
  <c r="AL26" i="23"/>
  <c r="AL3" i="23"/>
  <c r="AK23" i="23"/>
  <c r="AK19" i="23"/>
  <c r="AK15" i="23"/>
  <c r="AK11" i="23"/>
  <c r="AK7" i="23"/>
  <c r="AL24" i="23"/>
  <c r="AL20" i="23"/>
  <c r="AL16" i="23"/>
  <c r="AL12" i="23"/>
  <c r="AL8" i="23"/>
  <c r="AK3" i="23"/>
  <c r="AK26" i="23"/>
  <c r="AK22" i="23"/>
  <c r="AK18" i="23"/>
  <c r="AK14" i="23"/>
  <c r="AK10" i="23"/>
  <c r="AK6" i="23"/>
  <c r="AK25" i="23"/>
  <c r="AK21" i="23"/>
  <c r="AK17" i="23"/>
  <c r="AK13" i="23"/>
  <c r="AK9" i="23"/>
  <c r="AK5" i="23"/>
  <c r="AL23" i="23"/>
  <c r="AL19" i="23"/>
  <c r="AL15" i="23"/>
  <c r="AL11" i="23"/>
  <c r="AL7" i="23"/>
  <c r="AL25" i="23"/>
  <c r="AL21" i="23"/>
  <c r="AL17" i="23"/>
  <c r="AL13" i="23"/>
  <c r="AL9" i="23"/>
  <c r="AL5" i="23"/>
  <c r="AL18" i="23"/>
  <c r="AL14" i="23"/>
  <c r="AL10" i="23"/>
  <c r="AL6" i="23"/>
  <c r="Y3" i="20"/>
  <c r="X3" i="20"/>
  <c r="W3" i="20"/>
  <c r="C3" i="26" l="1"/>
  <c r="D4" i="26" s="1"/>
  <c r="E4" i="26" s="1"/>
  <c r="C7" i="26" l="1"/>
</calcChain>
</file>

<file path=xl/sharedStrings.xml><?xml version="1.0" encoding="utf-8"?>
<sst xmlns="http://schemas.openxmlformats.org/spreadsheetml/2006/main" count="1785" uniqueCount="565">
  <si>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</si>
  <si>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</si>
  <si>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</si>
  <si>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</si>
  <si>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</si>
  <si>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</si>
  <si>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</si>
  <si>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</si>
  <si>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</si>
  <si>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</si>
  <si>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</si>
  <si>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</si>
  <si>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</si>
  <si>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</si>
  <si>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</si>
  <si>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</si>
  <si>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</si>
  <si>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</si>
  <si>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</si>
  <si>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</si>
  <si>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</si>
  <si>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</si>
  <si>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</si>
  <si>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</si>
  <si>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</si>
  <si>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</si>
  <si>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</si>
  <si>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</si>
  <si>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</si>
  <si>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</si>
  <si>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</si>
  <si>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</si>
  <si>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</si>
  <si>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</si>
  <si>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</si>
  <si>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</si>
  <si>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</si>
  <si>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</si>
  <si>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</si>
  <si>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</si>
  <si>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</si>
  <si>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</si>
  <si>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</si>
  <si>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</si>
  <si>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</si>
  <si>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</si>
  <si>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</si>
  <si>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</si>
  <si>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</si>
  <si>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</si>
  <si>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</si>
  <si>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</si>
  <si>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</si>
  <si>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</si>
  <si>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</si>
  <si>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</si>
  <si>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</si>
  <si>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</si>
  <si>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</si>
  <si>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</si>
  <si>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</si>
  <si>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</si>
  <si>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</si>
  <si>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</si>
  <si>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</si>
  <si>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</si>
  <si>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</si>
  <si>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</si>
  <si>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</si>
  <si>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</si>
  <si>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</si>
  <si>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</si>
  <si>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</si>
  <si>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</si>
  <si>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</si>
  <si>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</si>
  <si>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</si>
  <si>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</si>
  <si>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</si>
  <si>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</si>
  <si>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</si>
  <si>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</si>
  <si>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</si>
  <si>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</si>
  <si>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</si>
  <si>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</si>
  <si>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</si>
  <si>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</si>
  <si>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</si>
  <si>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</si>
  <si>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</si>
  <si>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</si>
  <si>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</si>
  <si>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</si>
  <si>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</si>
  <si>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</si>
  <si>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</si>
  <si>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</si>
  <si>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</si>
  <si>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</si>
  <si>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</si>
  <si>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</si>
  <si>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</si>
  <si>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</si>
  <si>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</si>
  <si>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</si>
  <si>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</si>
  <si>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</si>
  <si>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</si>
  <si>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</si>
  <si>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</si>
  <si>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</si>
  <si>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</si>
  <si>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</si>
  <si>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</si>
  <si>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</si>
  <si>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</si>
  <si>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</si>
  <si>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</si>
  <si>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</si>
  <si>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</si>
  <si>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</si>
  <si>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</si>
  <si>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</si>
  <si>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</si>
  <si>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</si>
  <si>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</si>
  <si>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</si>
  <si>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</si>
  <si>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</si>
  <si>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</si>
  <si>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</si>
  <si>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</si>
  <si>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</si>
  <si>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</si>
  <si>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</si>
  <si>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</si>
  <si>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</si>
  <si>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</si>
  <si>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</si>
  <si>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</si>
  <si>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</si>
  <si>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</si>
  <si>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</si>
  <si>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</si>
  <si>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</si>
  <si>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</si>
  <si>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</si>
  <si>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</si>
  <si>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</si>
  <si>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</si>
  <si>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</si>
  <si>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</si>
  <si>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</si>
  <si>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</si>
  <si>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</si>
  <si>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</si>
  <si>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</si>
  <si>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</si>
  <si>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</si>
  <si>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</si>
  <si>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</si>
  <si>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</si>
  <si>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</si>
  <si>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</si>
  <si>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</si>
  <si>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</si>
  <si>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</si>
  <si>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</si>
  <si>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</si>
  <si>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</si>
  <si>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</si>
  <si>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</si>
  <si>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</si>
  <si>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</si>
  <si>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</si>
  <si>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</si>
  <si>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</si>
  <si>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</si>
  <si>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</si>
  <si>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</si>
  <si>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</si>
  <si>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</si>
  <si>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</si>
  <si>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</si>
  <si>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</si>
  <si>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</si>
  <si>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</si>
  <si>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</si>
  <si>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</si>
  <si>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</si>
  <si>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</si>
  <si>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</si>
  <si>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</si>
  <si>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</si>
  <si>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</si>
  <si>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</si>
  <si>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</si>
  <si>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</si>
  <si>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</si>
  <si>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</si>
  <si>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</si>
  <si>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</si>
  <si>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</si>
  <si>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</si>
  <si>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</si>
  <si>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</si>
  <si>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</si>
  <si>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</si>
  <si>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</si>
  <si>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</si>
  <si>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</si>
  <si>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</si>
  <si>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</si>
  <si>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</si>
  <si>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</si>
  <si>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</si>
  <si>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</si>
  <si>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</si>
  <si>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</si>
  <si>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</si>
  <si>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</si>
  <si>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</si>
  <si>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</si>
  <si>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</si>
  <si>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</si>
  <si>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</si>
  <si>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</si>
  <si>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</si>
  <si>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</si>
  <si>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</si>
  <si>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</si>
  <si>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</si>
  <si>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</si>
  <si>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</si>
  <si>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</si>
  <si>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</si>
  <si>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</si>
  <si>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</si>
  <si>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</si>
  <si>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</si>
  <si>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</si>
  <si>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</si>
  <si>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</si>
  <si>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</si>
  <si>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</si>
  <si>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</si>
  <si>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</si>
  <si>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</si>
  <si>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</si>
  <si>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</si>
  <si>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</si>
  <si>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</si>
  <si>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</si>
  <si>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</si>
  <si>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</si>
  <si>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</si>
  <si>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</si>
  <si>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</si>
  <si>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</si>
  <si>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</si>
  <si>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</si>
  <si>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</si>
  <si>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</si>
  <si>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</si>
  <si>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</si>
  <si>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</si>
  <si>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</si>
  <si>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</si>
  <si>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</si>
  <si>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</si>
  <si>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</si>
  <si>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</si>
  <si>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</si>
  <si>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</si>
  <si>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</si>
  <si>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</si>
  <si>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</si>
  <si>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</si>
  <si>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</si>
  <si>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</si>
  <si>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</si>
  <si>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</si>
  <si>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</si>
  <si>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</si>
  <si>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</si>
  <si>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</si>
  <si>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</si>
  <si>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</si>
  <si>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</si>
  <si>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</si>
  <si>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</si>
  <si>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</si>
  <si>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</si>
  <si>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</si>
  <si>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</si>
  <si>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</si>
  <si>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</si>
  <si>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</si>
  <si>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</si>
  <si>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</si>
  <si>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</si>
  <si>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</si>
  <si>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</si>
  <si>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</si>
  <si>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</si>
  <si>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</si>
  <si>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</si>
  <si>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</si>
  <si>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</si>
  <si>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</si>
  <si>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</si>
  <si>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</si>
  <si>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</si>
  <si>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</si>
  <si>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</si>
  <si>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VLR ANP</t>
  </si>
  <si>
    <t>São Sepé</t>
  </si>
  <si>
    <t>OBS</t>
  </si>
  <si>
    <t>DATA LANCTO</t>
  </si>
  <si>
    <t>DATA PAGAMENTO</t>
  </si>
  <si>
    <t>Adiantamento</t>
  </si>
  <si>
    <t>Aluguel de veículos</t>
  </si>
  <si>
    <t>Multa de trânsito</t>
  </si>
  <si>
    <t>Despesa</t>
  </si>
  <si>
    <t xml:space="preserve"> TOTAL  Receber</t>
  </si>
  <si>
    <t>TOTAL Pagar</t>
  </si>
  <si>
    <t>Adiantamentos</t>
  </si>
  <si>
    <t>Adto do mes de Maio</t>
  </si>
  <si>
    <t>àgua</t>
  </si>
  <si>
    <t>Sanepar</t>
  </si>
  <si>
    <t xml:space="preserve">Falta </t>
  </si>
  <si>
    <t>RUDMAR ANTONIO ERTHAL</t>
  </si>
  <si>
    <t>CaPANEMA</t>
  </si>
  <si>
    <t>Luis antonio</t>
  </si>
  <si>
    <t>Roubo</t>
  </si>
  <si>
    <t>EDGAR AIRTON BONFADA</t>
  </si>
  <si>
    <t>São BORJA</t>
  </si>
  <si>
    <t>EDEGAR AIRTON BONFADA</t>
  </si>
  <si>
    <t>RENOR LUIZ DALLA BONA</t>
  </si>
  <si>
    <t>GuAPORÉ</t>
  </si>
  <si>
    <t>EGIDIO POSSEBON</t>
  </si>
  <si>
    <t xml:space="preserve">Casca </t>
  </si>
  <si>
    <t>JOSE BENEDITO DA SILVA</t>
  </si>
  <si>
    <t>RANCHARIA</t>
  </si>
  <si>
    <t>JOSE PAULO RUSSINHOLI</t>
  </si>
  <si>
    <t>ACREÚNA</t>
  </si>
  <si>
    <t>GUILHERME SILVA MARCAL</t>
  </si>
  <si>
    <t>SANTA CRUZ DE MONTE CASTELO</t>
  </si>
  <si>
    <t>MARCOS CRISTIANO EIG</t>
  </si>
  <si>
    <t>MarECHAL CANDIDO RONDON</t>
  </si>
  <si>
    <t>JOSE RICARDO SCATAMBURLO</t>
  </si>
  <si>
    <t>SANTA CRUZ DO RIO PARDO</t>
  </si>
  <si>
    <t>MAURICIO CAMILO DOS SANTOS</t>
  </si>
  <si>
    <t xml:space="preserve">Milho </t>
  </si>
  <si>
    <t>EMERSON HENRIQUE MORAIS</t>
  </si>
  <si>
    <t>JATAI</t>
  </si>
  <si>
    <t>GISELE FRANCISCA GOBBI VILE</t>
  </si>
  <si>
    <t>SERGIO YUTAKA OBARA</t>
  </si>
  <si>
    <t>CHAPADÃO DO SUL</t>
  </si>
  <si>
    <t>GUSTAVO ROCHA MARTINS</t>
  </si>
  <si>
    <t>PaRAÚNA</t>
  </si>
  <si>
    <t>JULLIANA</t>
  </si>
  <si>
    <t>SEVERIANO DE SOUZA MELO</t>
  </si>
  <si>
    <t>PalMINÓPOLIS</t>
  </si>
  <si>
    <t>VELTON ALVES DE SOUZA</t>
  </si>
  <si>
    <t>ANTONIO DOMINGOS PULA</t>
  </si>
  <si>
    <t>CENTENÁRIO DO SUL</t>
  </si>
  <si>
    <t>ILENA DOS SANTOS DELOSS</t>
  </si>
  <si>
    <t>GIRUA</t>
  </si>
  <si>
    <t>MARCOS ADALBERTO SCARAM</t>
  </si>
  <si>
    <t xml:space="preserve">Assis  </t>
  </si>
  <si>
    <t>FERNANDA RIBEIRO MIL</t>
  </si>
  <si>
    <t>TARUMÃ</t>
  </si>
  <si>
    <t>LAURINDO SCARAMBONI</t>
  </si>
  <si>
    <t>ANTONIO MARCOS CAPEL</t>
  </si>
  <si>
    <t>CaMPO ALEGRE DE GOIÁS</t>
  </si>
  <si>
    <t>VICTOR</t>
  </si>
  <si>
    <t>JAIR D AGUSTIN</t>
  </si>
  <si>
    <t>RIO VERDE</t>
  </si>
  <si>
    <t xml:space="preserve">ALUIZIO MARTINS PEREIRA </t>
  </si>
  <si>
    <t>PalMONÓPOLIS</t>
  </si>
  <si>
    <t>ELTON KIKUTI CAPEL</t>
  </si>
  <si>
    <t>EDNILSON ANTONIO LOVATEL</t>
  </si>
  <si>
    <t>CaTANDUVAS</t>
  </si>
  <si>
    <t>JOSE CARLOS ALVES</t>
  </si>
  <si>
    <t>CRUZÁLIA</t>
  </si>
  <si>
    <t>RENATO LUCCHETTA</t>
  </si>
  <si>
    <t>PEDRINHAS PAULISTA</t>
  </si>
  <si>
    <t>MARCIO FERREIRA GAMEIRO</t>
  </si>
  <si>
    <t>TACIBA</t>
  </si>
  <si>
    <t>ROSICLER TAVARES GAMEIRO</t>
  </si>
  <si>
    <t>MARCOS FERREIRA GAMEIRO</t>
  </si>
  <si>
    <t>JOAO AFONSO DE GOUVEIA</t>
  </si>
  <si>
    <t xml:space="preserve">SBJ AGROPECUARIA </t>
  </si>
  <si>
    <t>PalMEIRAS DE GOIÁS</t>
  </si>
  <si>
    <t>SBJ AGROPECUARIA</t>
  </si>
  <si>
    <t>MARCO ANTONIO COSTA</t>
  </si>
  <si>
    <t>WAGNER PORTES</t>
  </si>
  <si>
    <t>PLATINA</t>
  </si>
  <si>
    <t>SECA</t>
  </si>
  <si>
    <t>DIVALDO APARECIDO PESS</t>
  </si>
  <si>
    <t>DANIEL CARVALHO BRITO</t>
  </si>
  <si>
    <t>EDMUR RIBEIRO DE CASTRO</t>
  </si>
  <si>
    <t>NANTES</t>
  </si>
  <si>
    <t>JOSE SALVADOR GARBELOTO</t>
  </si>
  <si>
    <t>TAQUARITUBA</t>
  </si>
  <si>
    <t>JOSE DANIEL GARBELOTO</t>
  </si>
  <si>
    <t>MARIA EDUARDA GARBELOTO</t>
  </si>
  <si>
    <t>EDVALDO APARECIDO CAETANO</t>
  </si>
  <si>
    <t>ELZA DIVINA CARDOSO</t>
  </si>
  <si>
    <t>INACIOLâNDIA</t>
  </si>
  <si>
    <t>CLAUTERIO KUNZLER</t>
  </si>
  <si>
    <t>ALVARO STERCHILE</t>
  </si>
  <si>
    <t>CaÇU</t>
  </si>
  <si>
    <t>IVANOR LUIZ VALIATI</t>
  </si>
  <si>
    <t xml:space="preserve">RIO VERDE </t>
  </si>
  <si>
    <t>ROSANA ELCINDA HENKES</t>
  </si>
  <si>
    <t>DANILO MARTINS TRINDADE</t>
  </si>
  <si>
    <t>GLICÉRIO</t>
  </si>
  <si>
    <t>IVALDO POSSAMAI</t>
  </si>
  <si>
    <t>AURELIO REZENDO DE LIMA</t>
  </si>
  <si>
    <t>CaMPOS NOVOS PAULISTA</t>
  </si>
  <si>
    <t>JOSE APARECIDO FELICI</t>
  </si>
  <si>
    <t>VALDIR PEDERSOLI</t>
  </si>
  <si>
    <t>JOSE CARLOS SOSSAI</t>
  </si>
  <si>
    <t>KALORÉ</t>
  </si>
  <si>
    <t>ANDERSON ANTONIO BARBIERE</t>
  </si>
  <si>
    <t>BARRAZÓPOLIS</t>
  </si>
  <si>
    <t>GUILHERME RIBEIRO DE MORAIS</t>
  </si>
  <si>
    <t>GUILHERME RIBEIRO DE MARAIS</t>
  </si>
  <si>
    <t>ALCEU VIEIRA SOUZA</t>
  </si>
  <si>
    <t xml:space="preserve">EMIVALDO PEREIRA </t>
  </si>
  <si>
    <t>PalMEIRAS</t>
  </si>
  <si>
    <t>EMIVALDO PEREIRA</t>
  </si>
  <si>
    <t>JOÃO BATISTA FERREIRA</t>
  </si>
  <si>
    <t>ALEX MACIEL DE MOURA</t>
  </si>
  <si>
    <t>INDIARA</t>
  </si>
  <si>
    <t>RUITER ARANTES DE SOUZA</t>
  </si>
  <si>
    <t>EDSON NEDOPETALSKI</t>
  </si>
  <si>
    <t>CLAUDIO DE OLIVEIRA VILLELA</t>
  </si>
  <si>
    <t>CRISTIANE MARIA SCHNEIDER</t>
  </si>
  <si>
    <t>ANTONIO D EPIRO</t>
  </si>
  <si>
    <t>EDUARDO PRIMON TAVEIRA</t>
  </si>
  <si>
    <t>DALVA CAMARGO ALVES</t>
  </si>
  <si>
    <t>ALEXANDRE BRUGIM</t>
  </si>
  <si>
    <t>VANDERCI SEVERINO DA SILVA</t>
  </si>
  <si>
    <t>SALTO GRANDE</t>
  </si>
  <si>
    <t>VILMAR DORE</t>
  </si>
  <si>
    <t>TRêS BARRAS DO PARANÁ</t>
  </si>
  <si>
    <t>HELIO KUERTEN BRUNING</t>
  </si>
  <si>
    <t>TRÊS BARRAS DO PARANA</t>
  </si>
  <si>
    <t>MARCOS ANTONIO ZANIN</t>
  </si>
  <si>
    <t>PaIÇANDU</t>
  </si>
  <si>
    <t>SERGIO PAVEZZI</t>
  </si>
  <si>
    <t>MUNHOZ DE MELO</t>
  </si>
  <si>
    <t>FERNANDO CESAR PERUZ</t>
  </si>
  <si>
    <t>CaMBÉ</t>
  </si>
  <si>
    <t>MARIO GROSSO</t>
  </si>
  <si>
    <t>FAUSTINA DANELLO CAVUTO</t>
  </si>
  <si>
    <t>IBIRATEMA</t>
  </si>
  <si>
    <t>RUDINEI MIRANDA</t>
  </si>
  <si>
    <t>IEPe</t>
  </si>
  <si>
    <t>^SP</t>
  </si>
  <si>
    <t>ALESSANDRO GIOVANNI</t>
  </si>
  <si>
    <t>IEPE</t>
  </si>
  <si>
    <t>ADRIANA RAFAEL BORTOLO</t>
  </si>
  <si>
    <t>MaringA</t>
  </si>
  <si>
    <t>ADAIRTON GONÇALVES</t>
  </si>
  <si>
    <t>ITAMAR VILELA DE ASSIS</t>
  </si>
  <si>
    <t>WAGNER PEREIRA FARINHA</t>
  </si>
  <si>
    <t>IBIRAREMA</t>
  </si>
  <si>
    <t>CRISTIANE BITO CAMPOS</t>
  </si>
  <si>
    <t>VILMUTH MARKS</t>
  </si>
  <si>
    <t>FAGNER</t>
  </si>
  <si>
    <t>ADAIR JOSE DE OLIVEIRA</t>
  </si>
  <si>
    <t>CELIO BARBOSA DE MENEZES</t>
  </si>
  <si>
    <t>MORRINHOS</t>
  </si>
  <si>
    <t>RAFAEL</t>
  </si>
  <si>
    <t>JOSE ANTONIO DOS SANTOS</t>
  </si>
  <si>
    <t xml:space="preserve">RAIMUNDO FRANCISCO </t>
  </si>
  <si>
    <t>MaURILANDIA</t>
  </si>
  <si>
    <t>JOSE CARLOS DE MORAES</t>
  </si>
  <si>
    <t>RAIMUNDO FRANCISCO DIAS</t>
  </si>
  <si>
    <t>UMBERTO VINICIUS PELOGIA</t>
  </si>
  <si>
    <t>APUCARANA</t>
  </si>
  <si>
    <t>PEDRO PERUCCI</t>
  </si>
  <si>
    <t>FAXINAL</t>
  </si>
  <si>
    <t>PEDRO REGINALDO DA SILVA</t>
  </si>
  <si>
    <t>BORRAZÓPOLIS</t>
  </si>
  <si>
    <t>ADELINO ARMAGNI</t>
  </si>
  <si>
    <t>IBIPORÃ</t>
  </si>
  <si>
    <t>LUIZ CLAUDIO PIVA</t>
  </si>
  <si>
    <t>MARIA DE FATIMA PERUCCI</t>
  </si>
  <si>
    <t>GUILHERME DUARTE PERUCCI</t>
  </si>
  <si>
    <t>JOAO HELIO BOTURA</t>
  </si>
  <si>
    <t>IporA</t>
  </si>
  <si>
    <t>MARCELO SAMPAIO</t>
  </si>
  <si>
    <t>IVALINO AUGUSTO ROTTA</t>
  </si>
  <si>
    <t>TRES BARRAS DO PARANA</t>
  </si>
  <si>
    <t>GILSON JOSE SASSO</t>
  </si>
  <si>
    <t>NovO ITACOLOMI</t>
  </si>
  <si>
    <t>GUILHERME DUARTE</t>
  </si>
  <si>
    <t>EDERSON ALEXANDRE TADIOTI</t>
  </si>
  <si>
    <t>edson ademir mantovan</t>
  </si>
  <si>
    <t>Jussara</t>
  </si>
  <si>
    <t>saulo de jesus</t>
  </si>
  <si>
    <t>Mirante de paranapanema</t>
  </si>
  <si>
    <t>EDERSON ALEXANDRE TADIOTA</t>
  </si>
  <si>
    <t>ALEXANDRE FRAGOSO DA COSTA</t>
  </si>
  <si>
    <t>GuARACI</t>
  </si>
  <si>
    <t>LUIZ CARLOS DE PAULA</t>
  </si>
  <si>
    <t>BORRAZÓLIS</t>
  </si>
  <si>
    <t>DANIEL SOARES  DE LIMA</t>
  </si>
  <si>
    <t>CLAUDINEI BENEDITO THOMAZINE</t>
  </si>
  <si>
    <t>GILMAR ALVES DE ABREU</t>
  </si>
  <si>
    <t>THIAGO LAZZARI DE MARCO</t>
  </si>
  <si>
    <t>APARECIDO ANTONIO RIGO</t>
  </si>
  <si>
    <t>JULIA</t>
  </si>
  <si>
    <t>NELSON LIMA DOS SANTOS</t>
  </si>
  <si>
    <t>LARANJEIRAS DO SUL</t>
  </si>
  <si>
    <t>MARCOS PAULO MARQUES</t>
  </si>
  <si>
    <t>MARCELO DE SOUZA PAES</t>
  </si>
  <si>
    <t>DORVANI GEREMIAS MARQUES</t>
  </si>
  <si>
    <t>JOAO BATISTA DA SILVA RIBEIRO</t>
  </si>
  <si>
    <t>MarACAI</t>
  </si>
  <si>
    <t>keyla lemes cruvinel</t>
  </si>
  <si>
    <t>rio verde</t>
  </si>
  <si>
    <t>Rafael</t>
  </si>
  <si>
    <t>BERTO ZANELLA</t>
  </si>
  <si>
    <t>PaRAUNA</t>
  </si>
  <si>
    <t>ALDORANDO PIRES ARANTES</t>
  </si>
  <si>
    <t>ACREUNA</t>
  </si>
  <si>
    <t>SEVERINO DE SOUZA MELO</t>
  </si>
  <si>
    <t>MARCIA MARLENE BREITENBA</t>
  </si>
  <si>
    <t>MARCIA MARLENE BEITENBA</t>
  </si>
  <si>
    <t>SIDNEI BERGOSSI</t>
  </si>
  <si>
    <t>SILVANO BERGOSSI</t>
  </si>
  <si>
    <t>INEDIO DELAI</t>
  </si>
  <si>
    <t>MARCIA MARLENE BREITEBAND</t>
  </si>
  <si>
    <t>VIVIANE GONCALVES BOTTER</t>
  </si>
  <si>
    <t>ALVARO GONÇALVES BOTTER</t>
  </si>
  <si>
    <t>NILTON CARDOSO DE ALMEIDA</t>
  </si>
  <si>
    <t>SANDOVAL GONÇALVES DE</t>
  </si>
  <si>
    <t>LUTECIA</t>
  </si>
  <si>
    <t>ADRIANA RAVAZZI SORGI</t>
  </si>
  <si>
    <t>SILVIO JOSE ALVES</t>
  </si>
  <si>
    <t>RUBENS APARECIDO GREIJO</t>
  </si>
  <si>
    <t>MARCELO KRUG</t>
  </si>
  <si>
    <t>NAZARENO JOSE CASSIOTI</t>
  </si>
  <si>
    <t>VICENTINA</t>
  </si>
  <si>
    <t>MAURICIO TOSHIO KONAKA</t>
  </si>
  <si>
    <t>FATIMA DO SUL</t>
  </si>
  <si>
    <t>LUIZ ALBERTO SUDA</t>
  </si>
  <si>
    <t>ROBERTO SILVEIRO DE ALMEIDA</t>
  </si>
  <si>
    <t>VILSON AMERICO DA COSTA</t>
  </si>
  <si>
    <t>FARAEL</t>
  </si>
  <si>
    <t>WILSON AMERICO DA COSTA</t>
  </si>
  <si>
    <t>JOAO LINO ALVES</t>
  </si>
  <si>
    <t>PErceu</t>
  </si>
  <si>
    <t>HERMANUS ANTHONIUS</t>
  </si>
  <si>
    <t>PIRAJU</t>
  </si>
  <si>
    <t>PERCEU</t>
  </si>
  <si>
    <t>Sidnei Humberto Ghiraldi</t>
  </si>
  <si>
    <t>Doutor Camargo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</si>
</sst>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  <numFmt numFmtId="165" formatCode="_-* #,##0_-;\-* #,##0_-;_-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  <bgColor theme="9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/>
      <bottom style="thin">
        <color theme="9" tint="0.39997558519241921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" borderId="0" applyNumberFormat="0" applyBorder="0" applyAlignment="0" applyProtection="0"/>
  </cellStyleXfs>
  <cellXfs count="99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Font="1"/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3" borderId="3" xfId="0" applyNumberFormat="1" applyFont="1" applyFill="1" applyBorder="1"/>
    <xf numFmtId="49" fontId="0" fillId="0" borderId="3" xfId="0" applyNumberFormat="1" applyFont="1" applyBorder="1"/>
    <xf numFmtId="49" fontId="0" fillId="3" borderId="4" xfId="0" applyNumberFormat="1" applyFont="1" applyFill="1" applyBorder="1"/>
    <xf numFmtId="49" fontId="0" fillId="0" borderId="4" xfId="0" applyNumberFormat="1" applyFont="1" applyBorder="1"/>
    <xf numFmtId="0" fontId="0" fillId="0" borderId="3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6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2" borderId="0" xfId="1" applyFont="1" applyFill="1" applyBorder="1" applyAlignment="1">
      <alignment horizontal="center"/>
    </xf>
    <xf numFmtId="44" fontId="5" fillId="2" borderId="0" xfId="1" applyFont="1" applyFill="1" applyBorder="1"/>
    <xf numFmtId="14" fontId="0" fillId="0" borderId="7" xfId="0" applyNumberFormat="1" applyBorder="1"/>
    <xf numFmtId="0" fontId="4" fillId="0" borderId="2" xfId="0" applyFont="1" applyBorder="1" applyAlignment="1"/>
    <xf numFmtId="44" fontId="5" fillId="2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1" fillId="4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44" fontId="0" fillId="0" borderId="0" xfId="1" applyFont="1" applyBorder="1"/>
    <xf numFmtId="44" fontId="0" fillId="3" borderId="6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Border="1"/>
    <xf numFmtId="165" fontId="0" fillId="0" borderId="0" xfId="0" applyNumberFormat="1" applyAlignment="1">
      <alignment horizontal="center"/>
    </xf>
    <xf numFmtId="49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7" fillId="0" borderId="0" xfId="0" applyFont="1" applyAlignment="1">
      <alignment horizontal="center"/>
    </xf>
    <xf numFmtId="0" fontId="12" fillId="5" borderId="8" xfId="0" applyFont="1" applyFill="1" applyBorder="1" applyAlignment="1">
      <alignment horizontal="center"/>
    </xf>
    <xf numFmtId="44" fontId="12" fillId="5" borderId="8" xfId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9" xfId="0" applyFont="1" applyBorder="1"/>
    <xf numFmtId="0" fontId="12" fillId="5" borderId="10" xfId="0" applyFont="1" applyFill="1" applyBorder="1" applyAlignment="1">
      <alignment horizontal="center"/>
    </xf>
    <xf numFmtId="44" fontId="13" fillId="4" borderId="0" xfId="4" applyNumberFormat="1" applyFont="1"/>
    <xf numFmtId="44" fontId="14" fillId="4" borderId="0" xfId="4" applyNumberFormat="1" applyFont="1"/>
    <xf numFmtId="7" fontId="0" fillId="0" borderId="0" xfId="1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1" applyNumberFormat="1" applyFont="1"/>
    <xf numFmtId="0" fontId="12" fillId="5" borderId="3" xfId="0" applyFont="1" applyFill="1" applyBorder="1" applyAlignment="1">
      <alignment horizontal="center"/>
    </xf>
    <xf numFmtId="1" fontId="12" fillId="5" borderId="3" xfId="0" applyNumberFormat="1" applyFont="1" applyFill="1" applyBorder="1" applyAlignment="1">
      <alignment horizontal="center"/>
    </xf>
    <xf numFmtId="14" fontId="0" fillId="0" borderId="0" xfId="1" applyNumberFormat="1" applyFont="1" applyAlignment="1">
      <alignment horizontal="center"/>
    </xf>
    <xf numFmtId="0" fontId="15" fillId="0" borderId="0" xfId="1" applyNumberFormat="1" applyFont="1" applyAlignment="1">
      <alignment horizontal="center"/>
    </xf>
    <xf numFmtId="44" fontId="15" fillId="0" borderId="0" xfId="1" applyFont="1" applyAlignment="1">
      <alignment horizontal="center"/>
    </xf>
    <xf numFmtId="14" fontId="15" fillId="0" borderId="0" xfId="1" applyNumberFormat="1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4" fillId="4" borderId="0" xfId="4" applyFont="1" applyAlignment="1">
      <alignment horizontal="left"/>
    </xf>
    <xf numFmtId="0" fontId="13" fillId="4" borderId="0" xfId="4" applyFont="1" applyAlignment="1">
      <alignment horizontal="left"/>
    </xf>
    <xf numFmtId="0" fontId="11" fillId="4" borderId="0" xfId="4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</cellXfs>
  <cellStyles count="5">
    <cellStyle name="60% - Ênfase4" xfId="4" builtinId="44"/>
    <cellStyle name="Moeda" xfId="1" builtinId="4"/>
    <cellStyle name="Moeda 2" xfId="2" xr:uid="{00000000-0005-0000-0000-000002000000}"/>
    <cellStyle name="Normal" xfId="0" builtinId="0"/>
    <cellStyle name="Porcentagem" xfId="3" builtinId="5"/>
  </cellStyles>
  <dxfs count="111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34" formatCode="_-&quot;R$&quot;* #,##0.00_-;\-&quot;R$&quot;* #,##0.00_-;_-&quot;R$&quot;* &quot;-&quot;??_-;_-@_-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" formatCode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_-[$R$-416]\ * #,##0.00_-;\-[$R$-416]\ * #,##0.00_-;_-[$R$-416]\ * &quot;-&quot;??_-;_-@_-"/>
    </dxf>
    <dxf>
      <numFmt numFmtId="19" formatCode="dd/mm/yyyy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07/relationships/slicerCache" Target="slicerCaches/slicerCache8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3.xml"/><Relationship Id="rId42" Type="http://schemas.microsoft.com/office/2007/relationships/slicerCache" Target="slicerCaches/slicerCache1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1.xml"/><Relationship Id="rId37" Type="http://schemas.microsoft.com/office/2007/relationships/slicerCache" Target="slicerCaches/slicerCache6.xml"/><Relationship Id="rId40" Type="http://schemas.microsoft.com/office/2007/relationships/slicerCache" Target="slicerCaches/slicerCache9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07/relationships/slicerCache" Target="slicerCaches/slicerCache5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microsoft.com/office/2007/relationships/slicerCache" Target="slicerCaches/slicerCache4.xml"/><Relationship Id="rId43" Type="http://schemas.microsoft.com/office/2007/relationships/slicerCache" Target="slicerCaches/slicerCache1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2.xml"/><Relationship Id="rId38" Type="http://schemas.microsoft.com/office/2007/relationships/slicerCache" Target="slicerCaches/slicerCache7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DashResultado!$A$5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1.6169989506820566</c:v>
                </c:pt>
                <c:pt idx="1">
                  <c:v>-0.61699895068205657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DashResultado!$B$3:$B$6</c:f>
              <c:numCache>
                <c:formatCode>General</c:formatCode>
                <c:ptCount val="4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558-45BA-858F-7582AB984561}"/>
            </c:ext>
          </c:extLst>
        </c:ser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DashResultado!$C$3:$C$6</c:f>
              <c:numCache>
                <c:formatCode>_("R$"* #,##0.00_);_("R$"* \(#,##0.00\);_("R$"* "-"??_);_(@_)</c:formatCode>
                <c:ptCount val="4"/>
                <c:pt idx="0">
                  <c:v>476.5</c:v>
                </c:pt>
                <c:pt idx="1">
                  <c:v>0</c:v>
                </c:pt>
                <c:pt idx="2">
                  <c:v>770.5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axId val="650534200"/>
        <c:axId val="650534528"/>
        <c:extLst/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Honorários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976.5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Honorários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476.5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despesas</a:t>
            </a:r>
            <a:r>
              <a:rPr lang="en-US" baseline="0"/>
              <a:t> reembolsaves seguradora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480</c:v>
                </c:pt>
                <c:pt idx="1">
                  <c:v>140.5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TbDinamicaApagar!$AJ$2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TbDinamicaApagar!$AJ$3:$AJ$26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770.5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0</xdr:row>
      <xdr:rowOff>0</xdr:rowOff>
    </xdr:from>
    <xdr:to>
      <xdr:col>4</xdr:col>
      <xdr:colOff>536849</xdr:colOff>
      <xdr:row>22</xdr:row>
      <xdr:rowOff>129000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5249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0</xdr:col>
      <xdr:colOff>219075</xdr:colOff>
      <xdr:row>3</xdr:row>
      <xdr:rowOff>15975</xdr:rowOff>
    </xdr:from>
    <xdr:to>
      <xdr:col>4</xdr:col>
      <xdr:colOff>300675</xdr:colOff>
      <xdr:row>5</xdr:row>
      <xdr:rowOff>174975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219075" y="587475"/>
          <a:ext cx="2520000" cy="5400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9</xdr:row>
      <xdr:rowOff>162223</xdr:rowOff>
    </xdr:from>
    <xdr:to>
      <xdr:col>4</xdr:col>
      <xdr:colOff>300675</xdr:colOff>
      <xdr:row>12</xdr:row>
      <xdr:rowOff>130723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219075" y="1876723"/>
          <a:ext cx="2520000" cy="5400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6</xdr:row>
      <xdr:rowOff>89099</xdr:rowOff>
    </xdr:from>
    <xdr:to>
      <xdr:col>4</xdr:col>
      <xdr:colOff>300675</xdr:colOff>
      <xdr:row>9</xdr:row>
      <xdr:rowOff>57599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219075" y="1232099"/>
          <a:ext cx="2520000" cy="54000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13</xdr:row>
      <xdr:rowOff>44848</xdr:rowOff>
    </xdr:from>
    <xdr:to>
      <xdr:col>4</xdr:col>
      <xdr:colOff>300675</xdr:colOff>
      <xdr:row>16</xdr:row>
      <xdr:rowOff>13348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219075" y="2521348"/>
          <a:ext cx="2520000" cy="5400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447674</xdr:colOff>
      <xdr:row>0</xdr:row>
      <xdr:rowOff>0</xdr:rowOff>
    </xdr:from>
    <xdr:to>
      <xdr:col>14</xdr:col>
      <xdr:colOff>279674</xdr:colOff>
      <xdr:row>22</xdr:row>
      <xdr:rowOff>129000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593407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9526</xdr:colOff>
      <xdr:row>3</xdr:row>
      <xdr:rowOff>92174</xdr:rowOff>
    </xdr:from>
    <xdr:to>
      <xdr:col>14</xdr:col>
      <xdr:colOff>91126</xdr:colOff>
      <xdr:row>6</xdr:row>
      <xdr:rowOff>60674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E517487-781E-4225-A04B-F9CBFC7983B2}"/>
            </a:ext>
          </a:extLst>
        </xdr:cNvPr>
        <xdr:cNvGrpSpPr/>
      </xdr:nvGrpSpPr>
      <xdr:grpSpPr>
        <a:xfrm>
          <a:off x="6105526" y="663674"/>
          <a:ext cx="2520000" cy="540000"/>
          <a:chOff x="6429375" y="1400175"/>
          <a:chExt cx="2543175" cy="647700"/>
        </a:xfrm>
      </xdr:grpSpPr>
      <xdr:sp macro="[0]!ChamaRelContasApagar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32948D41-5C56-4455-A45E-627DEB007598}"/>
              </a:ext>
            </a:extLst>
          </xdr:cNvPr>
          <xdr:cNvSpPr/>
        </xdr:nvSpPr>
        <xdr:spPr>
          <a:xfrm>
            <a:off x="6438900" y="1400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8D77609E-1345-4E71-8C6B-EC11440B40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5" y="1447799"/>
            <a:ext cx="581025" cy="58102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6</xdr:row>
      <xdr:rowOff>163584</xdr:rowOff>
    </xdr:from>
    <xdr:to>
      <xdr:col>14</xdr:col>
      <xdr:colOff>91126</xdr:colOff>
      <xdr:row>9</xdr:row>
      <xdr:rowOff>132084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9AA917B7-D837-4FDD-8717-53C012E1F8A7}"/>
            </a:ext>
          </a:extLst>
        </xdr:cNvPr>
        <xdr:cNvGrpSpPr/>
      </xdr:nvGrpSpPr>
      <xdr:grpSpPr>
        <a:xfrm>
          <a:off x="6105526" y="1306584"/>
          <a:ext cx="2520000" cy="540000"/>
          <a:chOff x="6467475" y="3495675"/>
          <a:chExt cx="2533650" cy="647700"/>
        </a:xfrm>
      </xdr:grpSpPr>
      <xdr:sp macro="[0]!ChamarContarReceber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F90C1E6F-558C-41C1-BC0F-180EEF6C27F8}"/>
              </a:ext>
            </a:extLst>
          </xdr:cNvPr>
          <xdr:cNvSpPr/>
        </xdr:nvSpPr>
        <xdr:spPr>
          <a:xfrm>
            <a:off x="6467475" y="34956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E5C761B-4CDD-45D7-916F-39EC01D28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72250" y="3495675"/>
            <a:ext cx="628650" cy="6286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10</xdr:row>
      <xdr:rowOff>44495</xdr:rowOff>
    </xdr:from>
    <xdr:to>
      <xdr:col>14</xdr:col>
      <xdr:colOff>91126</xdr:colOff>
      <xdr:row>13</xdr:row>
      <xdr:rowOff>12995</xdr:rowOff>
    </xdr:to>
    <xdr:sp macro="[0]!ChamaVistoriaPendente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C8E3579-0430-4158-9AD9-7205F3872BEC}"/>
            </a:ext>
          </a:extLst>
        </xdr:cNvPr>
        <xdr:cNvSpPr/>
      </xdr:nvSpPr>
      <xdr:spPr>
        <a:xfrm>
          <a:off x="6105526" y="1949495"/>
          <a:ext cx="2520000" cy="5400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Pendência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Vistoria</a:t>
          </a:r>
          <a:endParaRPr lang="pt-BR" sz="105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574198</xdr:colOff>
      <xdr:row>10</xdr:row>
      <xdr:rowOff>44649</xdr:rowOff>
    </xdr:from>
    <xdr:to>
      <xdr:col>11</xdr:col>
      <xdr:colOff>120192</xdr:colOff>
      <xdr:row>13</xdr:row>
      <xdr:rowOff>13149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6D8ADE-1A68-4527-B966-795D2182E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0598" y="1949649"/>
          <a:ext cx="765194" cy="540000"/>
        </a:xfrm>
        <a:prstGeom prst="rect">
          <a:avLst/>
        </a:prstGeom>
      </xdr:spPr>
    </xdr:pic>
    <xdr:clientData/>
  </xdr:twoCellAnchor>
  <xdr:twoCellAnchor>
    <xdr:from>
      <xdr:col>14</xdr:col>
      <xdr:colOff>324300</xdr:colOff>
      <xdr:row>0</xdr:row>
      <xdr:rowOff>0</xdr:rowOff>
    </xdr:from>
    <xdr:to>
      <xdr:col>19</xdr:col>
      <xdr:colOff>156300</xdr:colOff>
      <xdr:row>22</xdr:row>
      <xdr:rowOff>129000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8858700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14</xdr:col>
      <xdr:colOff>400051</xdr:colOff>
      <xdr:row>6</xdr:row>
      <xdr:rowOff>139711</xdr:rowOff>
    </xdr:from>
    <xdr:to>
      <xdr:col>19</xdr:col>
      <xdr:colOff>52051</xdr:colOff>
      <xdr:row>9</xdr:row>
      <xdr:rowOff>108211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8934451" y="1282711"/>
          <a:ext cx="2700000" cy="540000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3</xdr:row>
      <xdr:rowOff>54184</xdr:rowOff>
    </xdr:from>
    <xdr:to>
      <xdr:col>19</xdr:col>
      <xdr:colOff>52051</xdr:colOff>
      <xdr:row>6</xdr:row>
      <xdr:rowOff>22684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8934451" y="625684"/>
          <a:ext cx="2700000" cy="540000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10</xdr:row>
      <xdr:rowOff>34738</xdr:rowOff>
    </xdr:from>
    <xdr:to>
      <xdr:col>19</xdr:col>
      <xdr:colOff>52051</xdr:colOff>
      <xdr:row>13</xdr:row>
      <xdr:rowOff>3238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27AF5E9-AF00-4612-8AB3-8F83A038C12C}"/>
            </a:ext>
          </a:extLst>
        </xdr:cNvPr>
        <xdr:cNvGrpSpPr/>
      </xdr:nvGrpSpPr>
      <xdr:grpSpPr>
        <a:xfrm>
          <a:off x="8934451" y="1939738"/>
          <a:ext cx="2700000" cy="540000"/>
          <a:chOff x="8972551" y="2609850"/>
          <a:chExt cx="2761200" cy="716400"/>
        </a:xfrm>
      </xdr:grpSpPr>
      <xdr:sp macro="[0]!ChamarResultado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8DA5F62-7356-4EA2-A866-26B172D22EA4}"/>
              </a:ext>
            </a:extLst>
          </xdr:cNvPr>
          <xdr:cNvSpPr/>
        </xdr:nvSpPr>
        <xdr:spPr>
          <a:xfrm>
            <a:off x="8972551" y="2609850"/>
            <a:ext cx="2761200" cy="7164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Resultado</a:t>
            </a: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E0AEDD5-3056-4105-8B5C-4EB99DC85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6850" y="2638425"/>
            <a:ext cx="657225" cy="65722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581024</xdr:colOff>
      <xdr:row>0</xdr:row>
      <xdr:rowOff>0</xdr:rowOff>
    </xdr:from>
    <xdr:to>
      <xdr:col>9</xdr:col>
      <xdr:colOff>413024</xdr:colOff>
      <xdr:row>22</xdr:row>
      <xdr:rowOff>129000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01942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57150</xdr:colOff>
      <xdr:row>6</xdr:row>
      <xdr:rowOff>145554</xdr:rowOff>
    </xdr:from>
    <xdr:to>
      <xdr:col>9</xdr:col>
      <xdr:colOff>138750</xdr:colOff>
      <xdr:row>9</xdr:row>
      <xdr:rowOff>114054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105150" y="1288554"/>
          <a:ext cx="2520000" cy="5400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10</xdr:row>
      <xdr:rowOff>19347</xdr:rowOff>
    </xdr:from>
    <xdr:to>
      <xdr:col>9</xdr:col>
      <xdr:colOff>138750</xdr:colOff>
      <xdr:row>12</xdr:row>
      <xdr:rowOff>178347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105150" y="1924347"/>
          <a:ext cx="2520000" cy="5400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3</xdr:row>
      <xdr:rowOff>63599</xdr:rowOff>
    </xdr:from>
    <xdr:to>
      <xdr:col>9</xdr:col>
      <xdr:colOff>138750</xdr:colOff>
      <xdr:row>6</xdr:row>
      <xdr:rowOff>32099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105150" y="635099"/>
          <a:ext cx="2520000" cy="5400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13</xdr:row>
      <xdr:rowOff>83641</xdr:rowOff>
    </xdr:from>
    <xdr:to>
      <xdr:col>9</xdr:col>
      <xdr:colOff>138750</xdr:colOff>
      <xdr:row>16</xdr:row>
      <xdr:rowOff>52141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105150" y="2560141"/>
          <a:ext cx="2520000" cy="540000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16</xdr:row>
      <xdr:rowOff>140791</xdr:rowOff>
    </xdr:from>
    <xdr:to>
      <xdr:col>9</xdr:col>
      <xdr:colOff>138750</xdr:colOff>
      <xdr:row>19</xdr:row>
      <xdr:rowOff>109291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105150" y="3188791"/>
          <a:ext cx="2520000" cy="540000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16</xdr:row>
      <xdr:rowOff>111523</xdr:rowOff>
    </xdr:from>
    <xdr:to>
      <xdr:col>4</xdr:col>
      <xdr:colOff>300675</xdr:colOff>
      <xdr:row>19</xdr:row>
      <xdr:rowOff>80023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1F96B48D-1D6E-4A53-96F8-E26A41A13680}"/>
            </a:ext>
          </a:extLst>
        </xdr:cNvPr>
        <xdr:cNvGrpSpPr/>
      </xdr:nvGrpSpPr>
      <xdr:grpSpPr>
        <a:xfrm>
          <a:off x="219075" y="3159523"/>
          <a:ext cx="2520000" cy="540000"/>
          <a:chOff x="323849" y="3788173"/>
          <a:chExt cx="2574000" cy="600472"/>
        </a:xfrm>
      </xdr:grpSpPr>
      <xdr:sp macro="[0]!ChamarAdto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0DE2F605-975A-43DA-AE27-AE47819E6408}"/>
              </a:ext>
            </a:extLst>
          </xdr:cNvPr>
          <xdr:cNvSpPr/>
        </xdr:nvSpPr>
        <xdr:spPr>
          <a:xfrm>
            <a:off x="343059" y="3788173"/>
            <a:ext cx="255479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Adiantamentos</a:t>
            </a:r>
          </a:p>
        </xdr:txBody>
      </xdr:sp>
      <xdr:pic macro="[0]!ChamarAdto">
        <xdr:nvPicPr>
          <xdr:cNvPr id="59" name="Imagem 58">
            <a:extLst>
              <a:ext uri="{FF2B5EF4-FFF2-40B4-BE49-F238E27FC236}">
                <a16:creationId xmlns:a16="http://schemas.microsoft.com/office/drawing/2014/main" id="{FC2C0798-42E4-469C-8B1A-7DF04692EA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8617" y="3797003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10</xdr:row>
      <xdr:rowOff>152400</xdr:rowOff>
    </xdr:from>
    <xdr:to>
      <xdr:col>3</xdr:col>
      <xdr:colOff>104775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24</xdr:row>
      <xdr:rowOff>19051</xdr:rowOff>
    </xdr:from>
    <xdr:to>
      <xdr:col>0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10</xdr:row>
      <xdr:rowOff>152400</xdr:rowOff>
    </xdr:from>
    <xdr:to>
      <xdr:col>0</xdr:col>
      <xdr:colOff>95250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24</xdr:row>
      <xdr:rowOff>19051</xdr:rowOff>
    </xdr:from>
    <xdr:to>
      <xdr:col>3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18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9</xdr:row>
      <xdr:rowOff>28575</xdr:rowOff>
    </xdr:from>
    <xdr:to>
      <xdr:col>15</xdr:col>
      <xdr:colOff>180975</xdr:colOff>
      <xdr:row>11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</xdr:row>
      <xdr:rowOff>119062</xdr:rowOff>
    </xdr:from>
    <xdr:to>
      <xdr:col>10</xdr:col>
      <xdr:colOff>438150</xdr:colOff>
      <xdr:row>16</xdr:row>
      <xdr:rowOff>147637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133350</xdr:colOff>
      <xdr:row>1</xdr:row>
      <xdr:rowOff>133350</xdr:rowOff>
    </xdr:from>
    <xdr:to>
      <xdr:col>6</xdr:col>
      <xdr:colOff>133350</xdr:colOff>
      <xdr:row>14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638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19051</xdr:rowOff>
    </xdr:from>
    <xdr:to>
      <xdr:col>3</xdr:col>
      <xdr:colOff>95250</xdr:colOff>
      <xdr:row>21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2004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</xdr:row>
      <xdr:rowOff>142875</xdr:rowOff>
    </xdr:from>
    <xdr:to>
      <xdr:col>3</xdr:col>
      <xdr:colOff>95250</xdr:colOff>
      <xdr:row>14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180976</xdr:rowOff>
    </xdr:from>
    <xdr:to>
      <xdr:col>6</xdr:col>
      <xdr:colOff>142875</xdr:colOff>
      <xdr:row>20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7182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209549</xdr:colOff>
      <xdr:row>7</xdr:row>
      <xdr:rowOff>28573</xdr:rowOff>
    </xdr:from>
    <xdr:to>
      <xdr:col>9</xdr:col>
      <xdr:colOff>360749</xdr:colOff>
      <xdr:row>12</xdr:row>
      <xdr:rowOff>156073</xdr:rowOff>
    </xdr:to>
    <xdr:sp macro="" textlink="H4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67149" y="16859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8F49971-CE53-4FA8-9950-1371763A969C}" type="TxLink">
            <a:rPr lang="en-US" sz="16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Adiantamentos R$0</a:t>
          </a:fld>
          <a:endParaRPr lang="en-US" sz="16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219074</xdr:colOff>
      <xdr:row>1</xdr:row>
      <xdr:rowOff>57148</xdr:rowOff>
    </xdr:from>
    <xdr:to>
      <xdr:col>9</xdr:col>
      <xdr:colOff>370274</xdr:colOff>
      <xdr:row>6</xdr:row>
      <xdr:rowOff>175123</xdr:rowOff>
    </xdr:to>
    <xdr:sp macro="" textlink="H3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7F20C84-507D-424C-89C1-3ED2CE155823}"/>
            </a:ext>
          </a:extLst>
        </xdr:cNvPr>
        <xdr:cNvSpPr/>
      </xdr:nvSpPr>
      <xdr:spPr>
        <a:xfrm>
          <a:off x="3876674" y="56197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454472-0A66-41F9-BF74-9A79A39071CF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Valor Receber  R$476,5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104775</xdr:colOff>
      <xdr:row>1</xdr:row>
      <xdr:rowOff>76200</xdr:rowOff>
    </xdr:from>
    <xdr:to>
      <xdr:col>3</xdr:col>
      <xdr:colOff>104775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133350</xdr:rowOff>
    </xdr:from>
    <xdr:to>
      <xdr:col>6</xdr:col>
      <xdr:colOff>142875</xdr:colOff>
      <xdr:row>25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1467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14</xdr:row>
      <xdr:rowOff>142875</xdr:rowOff>
    </xdr:from>
    <xdr:to>
      <xdr:col>3</xdr:col>
      <xdr:colOff>104775</xdr:colOff>
      <xdr:row>25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1242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</xdr:row>
      <xdr:rowOff>76200</xdr:rowOff>
    </xdr:from>
    <xdr:to>
      <xdr:col>6</xdr:col>
      <xdr:colOff>133350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1</xdr:row>
      <xdr:rowOff>66674</xdr:rowOff>
    </xdr:from>
    <xdr:to>
      <xdr:col>9</xdr:col>
      <xdr:colOff>341700</xdr:colOff>
      <xdr:row>7</xdr:row>
      <xdr:rowOff>3674</xdr:rowOff>
    </xdr:to>
    <xdr:sp macro="" textlink="$H$3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48100" y="571499"/>
          <a:ext cx="207525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2C22-1DAC-438D-8B49-A5DA3F49E4A6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Valor a Pagar R$770,5</a:t>
          </a:fld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0</xdr:row>
      <xdr:rowOff>57150</xdr:rowOff>
    </xdr:from>
    <xdr:to>
      <xdr:col>11</xdr:col>
      <xdr:colOff>314325</xdr:colOff>
      <xdr:row>0</xdr:row>
      <xdr:rowOff>390525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334750" y="57150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1228725</xdr:colOff>
      <xdr:row>0</xdr:row>
      <xdr:rowOff>47625</xdr:rowOff>
    </xdr:from>
    <xdr:to>
      <xdr:col>11</xdr:col>
      <xdr:colOff>790575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353800" y="47625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00000000-000A-0000-FFFF-FFFF00000000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00000000-000A-0000-FFFF-FFFF01000000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39.806891782406" createdVersion="6" refreshedVersion="7" minRefreshableVersion="3" recordCount="1" xr:uid="{00000000-000A-0000-FFFF-FFFF02000000}">
  <cacheSource type="worksheet">
    <worksheetSource name="Tabela7"/>
  </cacheSource>
  <cacheFields count="20">
    <cacheField name="ID" numFmtId="0">
      <sharedItems containsSemiMixedTypes="0" containsString="0" containsNumber="1" containsInteger="1" minValue="2" maxValue="2"/>
    </cacheField>
    <cacheField name="PERITO" numFmtId="0">
      <sharedItems containsMixedTypes="1" containsNumber="1" containsInteger="1" minValue="2" maxValue="101" count="3">
        <s v="LUCAS CARLOS NEIS"/>
        <n v="2" u="1"/>
        <n v="101" u="1"/>
      </sharedItems>
    </cacheField>
    <cacheField name="SINISTRO" numFmtId="0">
      <sharedItems containsSemiMixedTypes="0" containsString="0" containsNumber="1" containsInteger="1" minValue="1" maxValue="2010099954" count="8">
        <n v="2010099954"/>
        <n v="125" u="1"/>
        <n v="5" u="1"/>
        <n v="2" u="1"/>
        <n v="1" u="1"/>
        <n v="3" u="1"/>
        <n v="8" u="1"/>
        <n v="2010097627" u="1"/>
      </sharedItems>
    </cacheField>
    <cacheField name="APOLICE" numFmtId="1">
      <sharedItems containsDate="1" containsString="0" containsBlank="1" containsMixedTypes="1" minDate="1900-01-10T06:42:05" maxDate="1900-01-10T06:42:05" count="5">
        <n v="2010099954"/>
        <m u="1"/>
        <n v="2010104541" u="1"/>
        <d v="1900-01-01T00:00:00" u="1"/>
        <n v="2010096914" u="1"/>
      </sharedItems>
    </cacheField>
    <cacheField name="DT VISTORIA" numFmtId="14">
      <sharedItems containsSemiMixedTypes="0" containsNonDate="0" containsDate="1" containsString="0" minDate="2021-03-25T00:00:00" maxDate="2021-05-07T00:00:00" count="7">
        <d v="2021-04-10T00:00:00"/>
        <d v="2021-05-05T00:00:00" u="1"/>
        <d v="2021-04-03T00:00:00" u="1"/>
        <d v="2021-05-06T00:00:00" u="1"/>
        <d v="2021-04-06T00:00:00" u="1"/>
        <d v="2021-03-25T00:00:00" u="1"/>
        <d v="2021-04-09T00:00:00" u="1"/>
      </sharedItems>
    </cacheField>
    <cacheField name="HONORÁRIO R$ " numFmtId="7">
      <sharedItems containsSemiMixedTypes="0" containsString="0" containsNumber="1" containsInteger="1" minValue="6" maxValue="285" count="10">
        <n v="150"/>
        <n v="135" u="1"/>
        <n v="285" u="1"/>
        <n v="100" u="1"/>
        <n v="125" u="1"/>
        <n v="130" u="1"/>
        <n v="6" u="1"/>
        <n v="103" u="1"/>
        <n v="101" u="1"/>
        <n v="105" u="1"/>
      </sharedItems>
    </cacheField>
    <cacheField name="VALOR KM R$" numFmtId="7">
      <sharedItems containsSemiMixedTypes="0" containsString="0" containsNumber="1" minValue="0" maxValue="840" count="11">
        <n v="480"/>
        <n v="0" u="1"/>
        <n v="13" u="1"/>
        <n v="429.6" u="1"/>
        <n v="75.599999999999994" u="1"/>
        <n v="468" u="1"/>
        <n v="7" u="1"/>
        <n v="1.2" u="1"/>
        <n v="225.6" u="1"/>
        <n v="840" u="1"/>
        <n v="12" u="1"/>
      </sharedItems>
    </cacheField>
    <cacheField name="HOTEL" numFmtId="7">
      <sharedItems containsSemiMixedTypes="0" containsString="0" containsNumber="1" minValue="0" maxValue="338.5" count="6">
        <n v="140.5"/>
        <n v="0" u="1"/>
        <n v="2" u="1"/>
        <n v="170" u="1"/>
        <n v="338.5" u="1"/>
        <n v="8" u="1"/>
      </sharedItems>
    </cacheField>
    <cacheField name="REFEIÇÃO" numFmtId="7">
      <sharedItems containsSemiMixedTypes="0" containsString="0" containsNumber="1" containsInteger="1" minValue="0" maxValue="10" count="3">
        <n v="0"/>
        <n v="9" u="1"/>
        <n v="10" u="1"/>
      </sharedItems>
    </cacheField>
    <cacheField name="PEDÁGIO " numFmtId="44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44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 " numFmtId="44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emiMixedTypes="0" containsString="0" containsNumber="1" containsInteger="1" minValue="0" maxValue="101" count="4">
        <n v="0"/>
        <n v="13" u="1"/>
        <n v="3" u="1"/>
        <n v="101" u="1"/>
      </sharedItems>
    </cacheField>
    <cacheField name="TOTAL " numFmtId="7">
      <sharedItems containsSemiMixedTypes="0" containsString="0" containsNumber="1" minValue="10" maxValue="1125" count="11">
        <n v="770.5"/>
        <n v="1125" u="1"/>
        <n v="501" u="1"/>
        <n v="738.5" u="1"/>
        <n v="918.1" u="1"/>
        <n v="50" u="1"/>
        <n v="370.6" u="1"/>
        <n v="360.6" u="1"/>
        <n v="150" u="1"/>
        <n v="502" u="1"/>
        <n v="10" u="1"/>
      </sharedItems>
    </cacheField>
    <cacheField name="DT LANCAMENTO" numFmtId="14">
      <sharedItems containsSemiMixedTypes="0" containsNonDate="0" containsDate="1" containsString="0" minDate="2021-03-26T00:00:00" maxDate="2021-05-22T00:00:00" count="8">
        <d v="2021-05-19T00:00:00"/>
        <d v="2021-05-12T00:00:00" u="1"/>
        <d v="2021-03-26T00:00:00" u="1"/>
        <d v="2021-05-01T00:00:00" u="1"/>
        <d v="2021-05-18T00:00:00" u="1"/>
        <d v="2021-05-11T00:00:00" u="1"/>
        <d v="2021-05-21T00:00:00" u="1"/>
        <d v="2021-05-07T00:00:00" u="1"/>
      </sharedItems>
    </cacheField>
    <cacheField name="TIPO" numFmtId="0">
      <sharedItems containsMixedTypes="1" containsNumber="1" containsInteger="1" minValue="16" maxValue="16" count="2">
        <s v="Pericia"/>
        <n v="16" u="1"/>
      </sharedItems>
    </cacheField>
    <cacheField name="STATUS" numFmtId="0">
      <sharedItems containsMixedTypes="1" containsNumber="1" containsInteger="1" minValue="17" maxValue="17" count="2">
        <s v="Aberto"/>
        <n v="17" u="1"/>
      </sharedItems>
    </cacheField>
    <cacheField name="DT PAGAMENTO" numFmtId="0">
      <sharedItems containsNonDate="0" containsDate="1" containsString="0" containsBlank="1" minDate="2021-02-28T00:00:00" maxDate="2021-05-22T00:00:00" count="6">
        <m/>
        <d v="2021-02-28T00:00:00" u="1"/>
        <d v="2021-03-27T00:00:00" u="1"/>
        <d v="2021-05-18T00:00:00" u="1"/>
        <d v="2021-05-21T00:00:00" u="1"/>
        <d v="2021-05-07T00:00:00" u="1"/>
      </sharedItems>
    </cacheField>
    <cacheField name="SEGURADORA" numFmtId="0">
      <sharedItems containsMixedTypes="1" containsNumber="1" containsInteger="1" minValue="17" maxValue="19" count="3">
        <s v="SWISS RE"/>
        <n v="17" u="1"/>
        <n v="19" u="1"/>
      </sharedItems>
    </cacheField>
    <cacheField name="ID ORIGEM" numFmtId="0">
      <sharedItems containsSemiMixedTypes="0" containsString="0" containsNumber="1" containsInteger="1" minValue="2" maxValue="2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39.811441319442" createdVersion="6" refreshedVersion="7" minRefreshableVersion="3" recordCount="1" xr:uid="{00000000-000A-0000-FFFF-FFFF03000000}">
  <cacheSource type="worksheet">
    <worksheetSource name="Tabela1"/>
  </cacheSource>
  <cacheFields count="9">
    <cacheField name="ID" numFmtId="0">
      <sharedItems containsSemiMixedTypes="0" containsString="0" containsNumber="1" containsInteger="1" minValue="2" maxValue="2"/>
    </cacheField>
    <cacheField name="DT LANCAMENTO" numFmtId="14">
      <sharedItems containsSemiMixedTypes="0" containsNonDate="0" containsDate="1" containsString="0" minDate="2021-03-07T00:00:00" maxDate="2021-07-04T00:00:00" count="8">
        <d v="2021-05-19T00:00:00"/>
        <d v="2021-07-03T00:00:00" u="1"/>
        <d v="2021-03-07T00:00:00" u="1"/>
        <d v="2021-06-03T00:00:00" u="1"/>
        <d v="2021-05-13T00:00:00" u="1"/>
        <d v="2021-03-25T00:00:00" u="1"/>
        <d v="2021-05-21T00:00:00" u="1"/>
        <d v="2021-05-07T00:00:00" u="1"/>
      </sharedItems>
    </cacheField>
    <cacheField name="DT PAGAMENTO" numFmtId="14">
      <sharedItems containsSemiMixedTypes="0" containsNonDate="0" containsDate="1" containsString="0" minDate="2021-03-07T00:00:00" maxDate="2021-07-04T00:00:00" count="11">
        <d v="2021-05-19T00:00:00"/>
        <d v="2021-07-03T00:00:00" u="1"/>
        <d v="2021-03-07T00:00:00" u="1"/>
        <d v="2021-06-03T00:00:00" u="1"/>
        <d v="2021-03-26T00:00:00" u="1"/>
        <d v="2021-05-10T00:00:00" u="1"/>
        <d v="2021-05-01T00:00:00" u="1"/>
        <d v="2021-05-11T00:00:00" u="1"/>
        <d v="2021-05-02T00:00:00" u="1"/>
        <d v="2021-05-21T00:00:00" u="1"/>
        <d v="2021-05-07T00:00:00" u="1"/>
      </sharedItems>
    </cacheField>
    <cacheField name="VALOR" numFmtId="44">
      <sharedItems containsSemiMixedTypes="0" containsString="0" containsNumber="1" containsInteger="1" minValue="0" maxValue="500" count="18">
        <n v="0"/>
        <n v="100" u="1"/>
        <n v="15" u="1"/>
        <n v="2" u="1"/>
        <n v="50" u="1"/>
        <n v="300" u="1"/>
        <n v="111" u="1"/>
        <n v="500" u="1"/>
        <n v="60" u="1"/>
        <n v="1" u="1"/>
        <n v="3" u="1"/>
        <n v="25" u="1"/>
        <n v="150" u="1"/>
        <n v="200" u="1"/>
        <n v="250" u="1"/>
        <n v="10" u="1"/>
        <n v="11" u="1"/>
        <n v="12" u="1"/>
      </sharedItems>
    </cacheField>
    <cacheField name="DESCRIÇÃO" numFmtId="0">
      <sharedItems containsMixedTypes="1" containsNumber="1" containsInteger="1" minValue="1" maxValue="1" count="2">
        <s v="àgua"/>
        <n v="1" u="1"/>
      </sharedItems>
    </cacheField>
    <cacheField name="FORNECEDOR" numFmtId="0">
      <sharedItems containsBlank="1" count="12">
        <s v="Sanepar"/>
        <m u="1"/>
        <s v="Livraria do bairro" u="1"/>
        <s v="COPEL" u="1"/>
        <s v="movida" u="1"/>
        <s v="parana" u="1"/>
        <s v="Localiza" u="1"/>
        <s v="Provedor de internet" u="1"/>
        <s v="mercado" u="1"/>
        <s v="RentCar" u="1"/>
        <s v="Anjos motoboy" u="1"/>
        <s v="teste" u="1"/>
      </sharedItems>
    </cacheField>
    <cacheField name="PERITO" numFmtId="0">
      <sharedItems containsNonDate="0" containsString="0" containsBlank="1"/>
    </cacheField>
    <cacheField name="TIPO" numFmtId="0">
      <sharedItems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39.811480902776" createdVersion="6" refreshedVersion="7" minRefreshableVersion="3" recordCount="1" xr:uid="{00000000-000A-0000-FFFF-FFFF04000000}">
  <cacheSource type="worksheet">
    <worksheetSource name="Tabela8"/>
  </cacheSource>
  <cacheFields count="23">
    <cacheField name="ID" numFmtId="0">
      <sharedItems containsSemiMixedTypes="0" containsString="0" containsNumber="1" containsInteger="1" minValue="2" maxValue="2"/>
    </cacheField>
    <cacheField name="PERITO" numFmtId="0">
      <sharedItems containsMixedTypes="1" containsNumber="1" containsInteger="1" minValue="2" maxValue="101" count="3">
        <s v="LUCAS CARLOS NEIS"/>
        <n v="2" u="1"/>
        <n v="101" u="1"/>
      </sharedItems>
    </cacheField>
    <cacheField name="SINISTRO" numFmtId="0">
      <sharedItems containsSemiMixedTypes="0" containsString="0" containsNumber="1" minValue="1" maxValue="2010100924" count="13">
        <n v="2010099954"/>
        <n v="125" u="1"/>
        <n v="4.5999999999999996" u="1"/>
        <n v="2" u="1"/>
        <n v="2010100924" u="1"/>
        <n v="7" u="1"/>
        <n v="1" u="1"/>
        <n v="3" u="1"/>
        <n v="8" u="1"/>
        <n v="9" u="1"/>
        <n v="10" u="1"/>
        <n v="2010097627" u="1"/>
        <n v="4" u="1"/>
      </sharedItems>
    </cacheField>
    <cacheField name="APOLICE" numFmtId="0">
      <sharedItems containsSemiMixedTypes="0" containsString="0" containsNumber="1" containsInteger="1" minValue="2" maxValue="2010100924" count="6">
        <n v="2010099954"/>
        <n v="121" u="1"/>
        <n v="2" u="1"/>
        <n v="2010100924" u="1"/>
        <n v="2010097627" u="1"/>
        <n v="4" u="1"/>
      </sharedItems>
    </cacheField>
    <cacheField name="DT VISTORIA" numFmtId="14">
      <sharedItems containsSemiMixedTypes="0" containsNonDate="0" containsDate="1" containsString="0" minDate="1900-04-21T00:00:00" maxDate="2021-05-07T00:00:00" count="7">
        <d v="2021-04-10T00:00:00"/>
        <d v="1900-04-21T00:00:00" u="1"/>
        <d v="2021-04-03T00:00:00" u="1"/>
        <d v="2021-05-06T00:00:00" u="1"/>
        <d v="2021-03-25T00:00:00" u="1"/>
        <d v="2021-03-04T00:00:00" u="1"/>
        <d v="2021-04-09T00:00:00" u="1"/>
      </sharedItems>
    </cacheField>
    <cacheField name="HONORÁRIO R$ " numFmtId="7">
      <sharedItems containsSemiMixedTypes="0" containsString="0" containsNumber="1" minValue="0" maxValue="679.5" count="12">
        <n v="0"/>
        <n v="356" u="1"/>
        <n v="320" u="1"/>
        <n v="679.5" u="1"/>
        <n v="6" u="1"/>
        <n v="300" u="1"/>
        <n v="400" u="1"/>
        <n v="474" u="1"/>
        <n v="202" u="1"/>
        <n v="200" u="1"/>
        <n v="198.666666666667" u="1"/>
        <n v="350" u="1"/>
      </sharedItems>
    </cacheField>
    <cacheField name="VALOR KM R$" numFmtId="7">
      <sharedItems containsSemiMixedTypes="0" containsString="0" containsNumber="1" minValue="0" maxValue="840" count="9">
        <n v="480"/>
        <n v="0" u="1"/>
        <n v="13" u="1"/>
        <n v="429.6" u="1"/>
        <n v="7" u="1"/>
        <n v="20" u="1"/>
        <n v="1.2" u="1"/>
        <n v="840" u="1"/>
        <n v="12" u="1"/>
      </sharedItems>
    </cacheField>
    <cacheField name="HOTEL" numFmtId="7">
      <sharedItems containsSemiMixedTypes="0" containsString="0" containsNumber="1" minValue="0" maxValue="338.5" count="7">
        <n v="140.5"/>
        <n v="0" u="1"/>
        <n v="2" u="1"/>
        <n v="338.5" u="1"/>
        <n v="8" u="1"/>
        <n v="3.3333333333333401" u="1"/>
        <n v="10" u="1"/>
      </sharedItems>
    </cacheField>
    <cacheField name="REFEIÇÃO" numFmtId="7">
      <sharedItems containsSemiMixedTypes="0" containsString="0" containsNumber="1" minValue="0" maxValue="197" count="6">
        <n v="0"/>
        <n v="50" u="1"/>
        <n v="13.3333333333333" u="1"/>
        <n v="197" u="1"/>
        <n v="9" u="1"/>
        <n v="10" u="1"/>
      </sharedItems>
    </cacheField>
    <cacheField name="PEDÁGIO " numFmtId="44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44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" numFmtId="44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emiMixedTypes="0" containsString="0" containsNumber="1" minValue="0" maxValue="197" count="7">
        <n v="0"/>
        <n v="13" u="1"/>
        <n v="197" u="1"/>
        <n v="3" u="1"/>
        <n v="3.3333333333333401" u="1"/>
        <n v="10" u="1"/>
        <n v="101" u="1"/>
      </sharedItems>
    </cacheField>
    <cacheField name="TOTAL " numFmtId="7">
      <sharedItems containsSemiMixedTypes="0" containsString="0" containsNumber="1" minValue="1" maxValue="3000" count="32">
        <n v="976.5"/>
        <n v="100" u="1"/>
        <n v="600" u="1"/>
        <n v="301" u="1"/>
        <n v="151" u="1"/>
        <n v="501" u="1"/>
        <n v="1253" u="1"/>
        <n v="14" u="1"/>
        <n v="3000" u="1"/>
        <n v="15" u="1"/>
        <n v="1068.0999999999999" u="1"/>
        <n v="212" u="1"/>
        <n v="50" u="1"/>
        <n v="300" u="1"/>
        <n v="111" u="1"/>
        <n v="364.3" u="1"/>
        <n v="244" u="1"/>
        <n v="374" u="1"/>
        <n v="474" u="1"/>
        <n v="202" u="1"/>
        <n v="503" u="1"/>
        <n v="1691.1" u="1"/>
        <n v="252" u="1"/>
        <n v="123" u="1"/>
        <n v="1" u="1"/>
        <n v="3" u="1"/>
        <n v="234" u="1"/>
        <n v="150" u="1"/>
        <n v="308.60000000000002" u="1"/>
        <n v="502" u="1"/>
        <n v="10" u="1"/>
        <n v="11" u="1"/>
      </sharedItems>
    </cacheField>
    <cacheField name="DT LANCAMENTO" numFmtId="14">
      <sharedItems containsSemiMixedTypes="0" containsNonDate="0" containsDate="1" containsString="0" minDate="2021-02-28T00:00:00" maxDate="2021-05-22T00:00:00" count="11">
        <d v="2021-05-19T00:00:00"/>
        <d v="2021-05-12T00:00:00" u="1"/>
        <d v="2021-02-28T00:00:00" u="1"/>
        <d v="2021-03-26T00:00:00" u="1"/>
        <d v="2021-05-01T00:00:00" u="1"/>
        <d v="2021-05-13T00:00:00" u="1"/>
        <d v="2021-05-11T00:00:00" u="1"/>
        <d v="2021-03-25T00:00:00" u="1"/>
        <d v="2021-05-21T00:00:00" u="1"/>
        <d v="2021-03-04T00:00:00" u="1"/>
        <d v="2021-05-07T00:00:00" u="1"/>
      </sharedItems>
    </cacheField>
    <cacheField name="TIPO" numFmtId="0">
      <sharedItems containsMixedTypes="1" containsNumber="1" containsInteger="1" minValue="16" maxValue="16" count="2">
        <s v="Pericia"/>
        <n v="16" u="1"/>
      </sharedItems>
    </cacheField>
    <cacheField name="STATUS" numFmtId="0">
      <sharedItems containsMixedTypes="1" containsNumber="1" containsInteger="1" minValue="17" maxValue="17" count="2">
        <s v="Parcial"/>
        <n v="17" u="1"/>
      </sharedItems>
    </cacheField>
    <cacheField name="DT RECEBIMENTO" numFmtId="14">
      <sharedItems containsSemiMixedTypes="0" containsNonDate="0" containsDate="1" containsString="0" minDate="2021-03-03T00:00:00" maxDate="2021-05-22T00:00:00" count="7">
        <d v="2021-05-21T00:00:00"/>
        <d v="2021-03-05T00:00:00" u="1"/>
        <d v="2021-03-03T00:00:00" u="1"/>
        <d v="2021-05-13T00:00:00" u="1"/>
        <d v="2021-03-27T00:00:00" u="1"/>
        <d v="2021-03-04T00:00:00" u="1"/>
        <d v="2021-05-07T00:00:00" u="1"/>
      </sharedItems>
    </cacheField>
    <cacheField name="SEGURADORA" numFmtId="0">
      <sharedItems containsMixedTypes="1" containsNumber="1" containsInteger="1" minValue="19" maxValue="19" count="2">
        <s v="SWISS RE"/>
        <n v="19" u="1"/>
      </sharedItems>
    </cacheField>
    <cacheField name="NF" numFmtId="0">
      <sharedItems containsSemiMixedTypes="0" containsString="0" containsNumber="1" containsInteger="1" minValue="1" maxValue="2519" count="10">
        <n v="2519"/>
        <n v="14" u="1"/>
        <n v="112" u="1"/>
        <n v="15" u="1"/>
        <n v="1346" u="1"/>
        <n v="20" u="1"/>
        <n v="2273" u="1"/>
        <n v="1" u="1"/>
        <n v="3" u="1"/>
        <n v="55" u="1"/>
      </sharedItems>
    </cacheField>
    <cacheField name="SALDO" numFmtId="7">
      <sharedItems containsSemiMixedTypes="0" containsString="0" containsNumber="1" minValue="0" maxValue="3000" count="37">
        <n v="476.5"/>
        <n v="0" u="1"/>
        <n v="100" u="1"/>
        <n v="301" u="1"/>
        <n v="151" u="1"/>
        <n v="201" u="1"/>
        <n v="501" u="1"/>
        <n v="1253" u="1"/>
        <n v="3000" u="1"/>
        <n v="15" u="1"/>
        <n v="976.5" u="1"/>
        <n v="1068.0999999999999" u="1"/>
        <n v="99" u="1"/>
        <n v="212" u="1"/>
        <n v="50" u="1"/>
        <n v="300" u="1"/>
        <n v="691.09999999999991" u="1"/>
        <n v="364.3" u="1"/>
        <n v="244" u="1"/>
        <n v="374" u="1"/>
        <n v="474" u="1"/>
        <n v="202" u="1"/>
        <n v="1691.1" u="1"/>
        <n v="252" u="1"/>
        <n v="21" u="1"/>
        <n v="123" u="1"/>
        <n v="81" u="1"/>
        <n v="1" u="1"/>
        <n v="3" u="1"/>
        <n v="134" u="1"/>
        <n v="234" u="1"/>
        <n v="150" u="1"/>
        <n v="200" u="1"/>
        <n v="308.60000000000002" u="1"/>
        <n v="10" u="1"/>
        <n v="84" u="1"/>
        <n v="11" u="1"/>
      </sharedItems>
    </cacheField>
    <cacheField name="Obs" numFmtId="0">
      <sharedItems/>
    </cacheField>
    <cacheField name="ID ORIGEM" numFmtId="0">
      <sharedItems containsSemiMixedTypes="0" containsString="0" containsNumber="1" containsInteger="1" minValue="2" maxValue="2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00000000-000A-0000-FFFF-FFFF05000000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m/>
    <s v="Despesa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Falta "/>
    <n v="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Receber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T4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3"/>
        <item m="1" x="12"/>
        <item m="1" x="5"/>
        <item m="1" x="8"/>
        <item m="1" x="9"/>
        <item m="1" x="10"/>
        <item m="1" x="2"/>
        <item m="1" x="1"/>
        <item m="1" x="7"/>
        <item m="1" x="6"/>
        <item m="1" x="1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2"/>
        <item m="1" x="1"/>
        <item m="1" x="5"/>
        <item m="1" x="4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5"/>
        <item m="1" x="2"/>
        <item m="1" x="1"/>
        <item m="1" x="4"/>
        <item m="1" x="6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2">
        <item m="1" x="10"/>
        <item m="1" x="9"/>
        <item m="1" x="8"/>
        <item m="1" x="6"/>
        <item m="1" x="7"/>
        <item m="1" x="2"/>
        <item m="1" x="11"/>
        <item m="1" x="4"/>
        <item m="1" x="5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9">
        <item m="1" x="1"/>
        <item m="1" x="8"/>
        <item m="1" x="5"/>
        <item m="1" x="2"/>
        <item m="1" x="4"/>
        <item m="1" x="6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1"/>
        <item m="1" x="5"/>
        <item m="1" x="6"/>
        <item m="1" x="4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0"/>
        <item m="1" x="5"/>
        <item m="1" x="2"/>
        <item m="1" x="1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0"/>
        <item m="1" x="4"/>
        <item m="1" x="5"/>
        <item m="1" x="2"/>
        <item m="1" x="1"/>
        <item m="1" x="3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2">
        <item m="1" x="11"/>
        <item m="1" x="26"/>
        <item m="1" x="16"/>
        <item m="1" x="22"/>
        <item m="1" x="18"/>
        <item m="1" x="17"/>
        <item m="1" x="15"/>
        <item m="1" x="7"/>
        <item m="1" x="28"/>
        <item m="1" x="13"/>
        <item m="1" x="19"/>
        <item m="1" x="3"/>
        <item m="1" x="10"/>
        <item m="1" x="21"/>
        <item m="1" x="5"/>
        <item m="1" x="27"/>
        <item m="1" x="29"/>
        <item m="1" x="20"/>
        <item m="1" x="2"/>
        <item m="1" x="12"/>
        <item m="1" x="4"/>
        <item m="1" x="31"/>
        <item m="1" x="6"/>
        <item m="1" x="23"/>
        <item m="1" x="24"/>
        <item m="1" x="25"/>
        <item m="1" x="14"/>
        <item m="1" x="8"/>
        <item x="0"/>
        <item m="1" x="1"/>
        <item m="1" x="3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1">
        <item m="1" x="2"/>
        <item m="1" x="9"/>
        <item m="1" x="7"/>
        <item m="1" x="3"/>
        <item m="1" x="4"/>
        <item m="1" x="10"/>
        <item m="1" x="6"/>
        <item m="1" x="1"/>
        <item m="1" x="5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7">
        <item m="1" x="2"/>
        <item m="1" x="5"/>
        <item m="1" x="1"/>
        <item m="1" x="4"/>
        <item m="1" x="6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8"/>
        <item m="1" x="2"/>
        <item m="1" x="7"/>
        <item m="1" x="5"/>
        <item m="1" x="1"/>
        <item m="1" x="3"/>
        <item m="1" x="9"/>
        <item m="1" x="6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">
        <item m="1" x="1"/>
        <item m="1" x="30"/>
        <item m="1" x="20"/>
        <item m="1" x="13"/>
        <item m="1" x="18"/>
        <item m="1" x="23"/>
        <item m="1" x="29"/>
        <item m="1" x="35"/>
        <item m="1" x="12"/>
        <item m="1" x="32"/>
        <item m="1" x="31"/>
        <item m="1" x="5"/>
        <item m="1" x="19"/>
        <item m="1" x="17"/>
        <item m="1" x="24"/>
        <item m="1" x="33"/>
        <item m="1" x="15"/>
        <item m="1" x="21"/>
        <item m="1" x="3"/>
        <item m="1" x="26"/>
        <item m="1" x="11"/>
        <item m="1" x="22"/>
        <item m="1" x="16"/>
        <item m="1" x="6"/>
        <item m="1" x="14"/>
        <item m="1" x="4"/>
        <item m="1" x="36"/>
        <item m="1" x="7"/>
        <item m="1" x="25"/>
        <item m="1" x="27"/>
        <item m="1" x="28"/>
        <item m="1" x="8"/>
        <item m="1" x="10"/>
        <item x="0"/>
        <item m="1" x="2"/>
        <item m="1" x="34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1">
    <i>
      <x v="2"/>
      <x v="9"/>
      <x v="6"/>
      <x v="12"/>
      <x v="5"/>
      <x v="11"/>
      <x v="8"/>
      <x v="6"/>
      <x/>
      <x v="1"/>
      <x v="2"/>
      <x v="2"/>
      <x/>
      <x v="28"/>
      <x v="33"/>
      <x v="9"/>
      <x v="1"/>
      <x v="1"/>
      <x v="6"/>
      <x v="1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ela dinâmicaPagar" cacheId="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R4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3"/>
        <item m="1" x="5"/>
        <item m="1" x="2"/>
        <item m="1" x="6"/>
        <item m="1" x="1"/>
        <item m="1" x="4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0"/>
        <item m="1" x="1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2"/>
        <item m="1" x="5"/>
        <item m="1" x="6"/>
        <item m="1" x="3"/>
        <item x="0"/>
        <item m="1" x="4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0">
        <item m="1" x="8"/>
        <item m="1" x="7"/>
        <item m="1" x="9"/>
        <item x="0"/>
        <item m="1" x="3"/>
        <item m="1" x="6"/>
        <item m="1" x="2"/>
        <item m="1" x="5"/>
        <item m="1" x="4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1">
        <item m="1" x="1"/>
        <item m="1" x="10"/>
        <item m="1" x="2"/>
        <item m="1" x="7"/>
        <item m="1" x="6"/>
        <item m="1" x="3"/>
        <item m="1" x="9"/>
        <item m="1" x="5"/>
        <item x="0"/>
        <item m="1" x="4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m="1" x="1"/>
        <item m="1" x="2"/>
        <item m="1" x="5"/>
        <item m="1" x="4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m="1" x="2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1">
        <item m="1" x="2"/>
        <item m="1" x="4"/>
        <item m="1" x="1"/>
        <item m="1" x="9"/>
        <item m="1" x="10"/>
        <item m="1" x="8"/>
        <item m="1" x="5"/>
        <item m="1" x="3"/>
        <item x="0"/>
        <item m="1" x="6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8">
        <item m="1" x="2"/>
        <item m="1" x="3"/>
        <item m="1" x="7"/>
        <item m="1" x="5"/>
        <item m="1" x="1"/>
        <item m="1" x="4"/>
        <item x="0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1"/>
        <item x="0"/>
        <item m="1" x="2"/>
        <item m="1" x="5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1">
    <i>
      <x v="2"/>
      <x v="7"/>
      <x v="1"/>
      <x v="4"/>
      <x v="3"/>
      <x v="8"/>
      <x v="4"/>
      <x/>
      <x v="1"/>
      <x v="1"/>
      <x v="1"/>
      <x/>
      <x v="8"/>
      <x v="6"/>
      <x v="1"/>
      <x v="1"/>
      <x v="1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Despesa" cacheId="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9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8">
        <item m="1" x="3"/>
        <item m="1" x="1"/>
        <item m="1" x="2"/>
        <item m="1" x="5"/>
        <item m="1" x="7"/>
        <item m="1" x="4"/>
        <item x="0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11">
        <item m="1" x="3"/>
        <item m="1" x="1"/>
        <item m="1" x="2"/>
        <item m="1" x="4"/>
        <item m="1" x="10"/>
        <item m="1" x="5"/>
        <item m="1" x="6"/>
        <item m="1" x="8"/>
        <item m="1" x="7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8">
        <item m="1" x="4"/>
        <item m="1" x="1"/>
        <item n="500" m="1" x="12"/>
        <item m="1" x="7"/>
        <item m="1" x="5"/>
        <item m="1" x="13"/>
        <item m="1" x="8"/>
        <item m="1" x="11"/>
        <item m="1" x="2"/>
        <item m="1" x="14"/>
        <item m="1" x="9"/>
        <item m="1" x="15"/>
        <item m="1" x="17"/>
        <item m="1" x="6"/>
        <item m="1" x="16"/>
        <item m="1" x="3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m="1" x="3"/>
        <item m="1" x="2"/>
        <item x="0"/>
        <item m="1" x="1"/>
        <item m="1" x="10"/>
        <item m="1" x="8"/>
        <item m="1" x="7"/>
        <item m="1" x="5"/>
        <item m="1" x="6"/>
        <item m="1" x="9"/>
        <item m="1" x="1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6"/>
      <x v="9"/>
      <x v="1"/>
      <x v="17"/>
      <x v="2"/>
    </i>
  </rowItems>
  <colItems count="1">
    <i/>
  </colItems>
  <formats count="1">
    <format dxfId="6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00000000-0013-0000-FFFF-FFFF01000000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00000000-0013-0000-FFFF-FFFF02000000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00000000-0013-0000-FFFF-FFFF03000000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00000000-0013-0000-FFFF-FFFF04000000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0000000-0013-0000-FFFF-FFFF05000000}" sourceName="PERITO">
  <pivotTables>
    <pivotTable tabId="23" name="Tabela dinâmicaReceber"/>
  </pivotTables>
  <data>
    <tabular pivotCacheId="2036691246">
      <items count="3">
        <i x="0" s="1"/>
        <i x="1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00000000-0013-0000-FFFF-FFFF06000000}" sourceName="STATUS">
  <pivotTables>
    <pivotTable tabId="23" name="Tabela dinâmicaReceber"/>
  </pivotTables>
  <data>
    <tabular pivotCacheId="2036691246">
      <items count="2">
        <i x="0" s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00000000-0013-0000-FFFF-FFFF07000000}" sourceName="SEGURADORA">
  <pivotTables>
    <pivotTable tabId="23" name="Tabela dinâmicaReceber"/>
  </pivotTables>
  <data>
    <tabular pivotCacheId="2036691246">
      <items count="2">
        <i x="0" s="1"/>
        <i x="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00000000-0013-0000-FFFF-FFFF08000000}" sourceName="TIPO">
  <pivotTables>
    <pivotTable tabId="23" name="Tabela dinâmicaReceber"/>
  </pivotTables>
  <data>
    <tabular pivotCacheId="2036691246">
      <items count="2">
        <i x="0" s="1"/>
        <i x="1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00000000-0013-0000-FFFF-FFFF09000000}" sourceName="TIPO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00000000-0013-0000-FFFF-FFFF0A000000}" sourceName="STATUS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00000000-0013-0000-FFFF-FFFF0B000000}" sourceName="SEGURADORA">
  <pivotTables>
    <pivotTable tabId="24" name="Tabela dinâmicaPagar"/>
  </pivotTables>
  <data>
    <tabular pivotCacheId="1193964075">
      <items count="3">
        <i x="0" s="1"/>
        <i x="1" s="1" nd="1"/>
        <i x="2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00000000-0013-0000-FFFF-FFFF0C000000}" sourceName="PERITO">
  <pivotTables>
    <pivotTable tabId="24" name="Tabela dinâmicaPagar"/>
  </pivotTables>
  <data>
    <tabular pivotCacheId="1193964075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00000000-0014-0000-FFFF-FFFF01000000}" cache="SegmentaçãodeDados_PERITO1" caption="PERITO" style="SlicerStyleLight6" rowHeight="241300"/>
  <slicer name="STATUS 3" xr10:uid="{00000000-0014-0000-FFFF-FFFF02000000}" cache="SegmentaçãodeDados_STATUS1" caption="STATUS" style="SlicerStyleLight6" rowHeight="241300"/>
  <slicer name="SEGURADORA 3" xr10:uid="{00000000-0014-0000-FFFF-FFFF03000000}" cache="SegmentaçãodeDados_SEGURADORA1" caption="SEGURADORA" style="SlicerStyleLight6" rowHeight="241300"/>
  <slicer name="TIPO 3" xr10:uid="{00000000-0014-0000-FFFF-FFFF04000000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00000000-0014-0000-FFFF-FFFF05000000}" cache="SegmentaçãodeDados_PERITO1" caption="PERITO" style="SlicerStyleLight6" rowHeight="241300"/>
  <slicer name="STATUS" xr10:uid="{00000000-0014-0000-FFFF-FFFF06000000}" cache="SegmentaçãodeDados_STATUS1" caption="STATUS" style="SlicerStyleLight6" rowHeight="241300"/>
  <slicer name="SEGURADORA" xr10:uid="{00000000-0014-0000-FFFF-FFFF07000000}" cache="SegmentaçãodeDados_SEGURADORA1" caption="SEGURADORA" style="SlicerStyleLight6" rowHeight="241300"/>
  <slicer name="TIPO 2" xr10:uid="{00000000-0014-0000-FFFF-FFFF08000000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00000000-0014-0000-FFFF-FFFF09000000}" cache="SegmentaçãodeDados_PERITO" caption="PERITO" style="SlicerStyleLight6" rowHeight="241300"/>
  <slicer name="TIPO 1" xr10:uid="{00000000-0014-0000-FFFF-FFFF0A000000}" cache="SegmentaçãodeDados_TIPO" caption="TIPO" style="SlicerStyleLight6" rowHeight="241300"/>
  <slicer name="STATUS 1" xr10:uid="{00000000-0014-0000-FFFF-FFFF0B000000}" cache="SegmentaçãodeDados_STATUS" caption="STATUS" style="SlicerStyleLight6" rowHeight="241300"/>
  <slicer name="SEGURADORA 1" xr10:uid="{00000000-0014-0000-FFFF-FFFF0C000000}" cache="SegmentaçãodeDados_SEGURADORA" caption="SEGURADORA" style="SlicerStyleLight6" rowHeight="241300"/>
  <slicer name="TIPO" xr10:uid="{00000000-0014-0000-FFFF-FFFF0D000000}" cache="SegmentaçãodeDados_TIPO1" caption="TIPO" style="SlicerStyleLight6" rowHeight="241300"/>
  <slicer name="STATUS 2" xr10:uid="{00000000-0014-0000-FFFF-FFFF0E000000}" cache="SegmentaçãodeDados_STATUS2" caption="STATUS" style="SlicerStyleLight6" rowHeight="241300"/>
  <slicer name="SEGURADORA 2" xr10:uid="{00000000-0014-0000-FFFF-FFFF0F000000}" cache="SegmentaçãodeDados_SEGURADORA2" caption="SEGURADORA" style="SlicerStyleLight6" rowHeight="241300"/>
  <slicer name="PERITO 2" xr10:uid="{00000000-0014-0000-FFFF-FFFF10000000}" cache="SegmentaçãodeDados_PERITO2" caption="PERITO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AG178" totalsRowShown="0" headerRowDxfId="110" dataDxfId="109">
  <tableColumns count="33">
    <tableColumn id="36" xr3:uid="{00000000-0010-0000-0000-000024000000}" name="ID" dataDxfId="108"/>
    <tableColumn id="1" xr3:uid="{00000000-0010-0000-0000-000001000000}" name="DT RECEBIMENTO" dataDxfId="107"/>
    <tableColumn id="2" xr3:uid="{00000000-0010-0000-0000-000002000000}" name="DT VISTORIA" dataDxfId="106"/>
    <tableColumn id="3" xr3:uid="{00000000-0010-0000-0000-000003000000}" name="DT ENTREGA " dataDxfId="105"/>
    <tableColumn id="4" xr3:uid="{00000000-0010-0000-0000-000004000000}" name="NF" dataDxfId="104"/>
    <tableColumn id="5" xr3:uid="{00000000-0010-0000-0000-000005000000}" name="SINISTRO" dataDxfId="103"/>
    <tableColumn id="6" xr3:uid="{00000000-0010-0000-0000-000006000000}" name="APÓLICE" dataDxfId="102"/>
    <tableColumn id="7" xr3:uid="{00000000-0010-0000-0000-000007000000}" name="PROPOSTA" dataDxfId="101"/>
    <tableColumn id="8" xr3:uid="{00000000-0010-0000-0000-000008000000}" name="SEGURADO" dataDxfId="100"/>
    <tableColumn id="9" xr3:uid="{00000000-0010-0000-0000-000009000000}" name="OBS:" dataDxfId="99"/>
    <tableColumn id="10" xr3:uid="{00000000-0010-0000-0000-00000A000000}" name="MUNICIPIO " dataDxfId="98"/>
    <tableColumn id="11" xr3:uid="{00000000-0010-0000-0000-00000B000000}" name="UF" dataDxfId="97"/>
    <tableColumn id="12" xr3:uid="{00000000-0010-0000-0000-00000C000000}" name="EVENTO" dataDxfId="96"/>
    <tableColumn id="13" xr3:uid="{00000000-0010-0000-0000-00000D000000}" name="CULTURA" dataDxfId="95"/>
    <tableColumn id="14" xr3:uid="{00000000-0010-0000-0000-00000E000000}" name="PERITO " dataDxfId="94"/>
    <tableColumn id="15" xr3:uid="{00000000-0010-0000-0000-00000F000000}" name="VISTORIA" dataDxfId="93"/>
    <tableColumn id="16" xr3:uid="{00000000-0010-0000-0000-000010000000}" name="AREA SEGURADA" dataDxfId="92"/>
    <tableColumn id="17" xr3:uid="{00000000-0010-0000-0000-000011000000}" name="AREA VISTORIADA" dataDxfId="91"/>
    <tableColumn id="18" xr3:uid="{00000000-0010-0000-0000-000012000000}" name="SEGURADORA" dataDxfId="90" dataCellStyle="Moeda"/>
    <tableColumn id="19" xr3:uid="{00000000-0010-0000-0000-000013000000}" name="HONORÁRIO R$ " dataDxfId="89" dataCellStyle="Moeda"/>
    <tableColumn id="20" xr3:uid="{00000000-0010-0000-0000-000014000000}" name="KM RODADO PERITO" dataDxfId="88" dataCellStyle="Moeda"/>
    <tableColumn id="21" xr3:uid="{00000000-0010-0000-0000-000015000000}" name="VALOR KM R$" dataDxfId="87" dataCellStyle="Moeda"/>
    <tableColumn id="22" xr3:uid="{00000000-0010-0000-0000-000016000000}" name="KM RODADO EMPRESA" dataDxfId="86" dataCellStyle="Moeda"/>
    <tableColumn id="23" xr3:uid="{00000000-0010-0000-0000-000017000000}" name="KM R$ EMPR" dataDxfId="85" dataCellStyle="Moeda"/>
    <tableColumn id="24" xr3:uid="{00000000-0010-0000-0000-000018000000}" name="HOTEL" dataDxfId="84" dataCellStyle="Moeda"/>
    <tableColumn id="25" xr3:uid="{00000000-0010-0000-0000-000019000000}" name="REFEIÇÃO" dataDxfId="83" dataCellStyle="Moeda"/>
    <tableColumn id="26" xr3:uid="{00000000-0010-0000-0000-00001A000000}" name="OUTROS " dataDxfId="82" dataCellStyle="Moeda"/>
    <tableColumn id="27" xr3:uid="{00000000-0010-0000-0000-00001B000000}" name="TOTAL " dataDxfId="81" dataCellStyle="Moeda"/>
    <tableColumn id="28" xr3:uid="{00000000-0010-0000-0000-00001C000000}" name="DT LANÇAMENTO " dataDxfId="80"/>
    <tableColumn id="29" xr3:uid="{00000000-0010-0000-0000-00001D000000}" name="DT AGENDAMENTO" dataDxfId="79"/>
    <tableColumn id="32" xr3:uid="{00000000-0010-0000-0000-000020000000}" name="HONORARIO EMPRESA" dataDxfId="78"/>
    <tableColumn id="33" xr3:uid="{00000000-0010-0000-0000-000021000000}" name="TOTAL EMPRESA" dataDxfId="77"/>
    <tableColumn id="31" xr3:uid="{00000000-0010-0000-0000-00001F000000}" name="VLR ANP" dataDxfId="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AH2" totalsRowShown="0" headerRowDxfId="75">
  <tableColumns count="34">
    <tableColumn id="40" xr3:uid="{00000000-0010-0000-0100-000028000000}" name="ID" dataDxfId="74"/>
    <tableColumn id="1" xr3:uid="{00000000-0010-0000-0100-000001000000}" name="DT AVISO" dataDxfId="73"/>
    <tableColumn id="2" xr3:uid="{00000000-0010-0000-0100-000002000000}" name="NF" dataDxfId="72"/>
    <tableColumn id="3" xr3:uid="{00000000-0010-0000-0100-000003000000}" name="DT VISTORIA " dataDxfId="71"/>
    <tableColumn id="4" xr3:uid="{00000000-0010-0000-0100-000004000000}" name="DT REVISTORIA" dataDxfId="70"/>
    <tableColumn id="5" xr3:uid="{00000000-0010-0000-0100-000005000000}" name="APÓLICE " dataDxfId="69"/>
    <tableColumn id="24" xr3:uid="{00000000-0010-0000-0100-000018000000}" name="SINISTRO" dataDxfId="68"/>
    <tableColumn id="6" xr3:uid="{00000000-0010-0000-0100-000006000000}" name="SEGURADO" dataDxfId="67"/>
    <tableColumn id="7" xr3:uid="{00000000-0010-0000-0100-000007000000}" name="MUNICIPIO " dataDxfId="66"/>
    <tableColumn id="8" xr3:uid="{00000000-0010-0000-0100-000008000000}" name="UF" dataDxfId="65"/>
    <tableColumn id="9" xr3:uid="{00000000-0010-0000-0100-000009000000}" name="NATUREZA DO SINISTRO"/>
    <tableColumn id="10" xr3:uid="{00000000-0010-0000-0100-00000A000000}" name="PERITO "/>
    <tableColumn id="11" xr3:uid="{00000000-0010-0000-0100-00000B000000}" name=" HONORÁRIO R$  " dataDxfId="64" dataCellStyle="Moeda"/>
    <tableColumn id="12" xr3:uid="{00000000-0010-0000-0100-00000C000000}" name="KM  "/>
    <tableColumn id="26" xr3:uid="{00000000-0010-0000-0100-00001A000000}" name="KM R$"/>
    <tableColumn id="13" xr3:uid="{00000000-0010-0000-0100-00000D000000}" name="PEDÁGIO " dataDxfId="63" dataCellStyle="Moeda"/>
    <tableColumn id="14" xr3:uid="{00000000-0010-0000-0100-00000E000000}" name="HOTEL " dataDxfId="62" dataCellStyle="Moeda"/>
    <tableColumn id="15" xr3:uid="{00000000-0010-0000-0100-00000F000000}" name="REFEIÇÃO " dataDxfId="61" dataCellStyle="Moeda"/>
    <tableColumn id="16" xr3:uid="{00000000-0010-0000-0100-000010000000}" name="PASSAGEM ÁERA" dataDxfId="60" dataCellStyle="Moeda"/>
    <tableColumn id="17" xr3:uid="{00000000-0010-0000-0100-000011000000}" name="ALUGUEL CARRO " dataDxfId="59" dataCellStyle="Moeda"/>
    <tableColumn id="18" xr3:uid="{00000000-0010-0000-0100-000012000000}" name="OUTROS " dataDxfId="58" dataCellStyle="Moeda"/>
    <tableColumn id="25" xr3:uid="{00000000-0010-0000-0100-000019000000}" name="TOTAL  " dataDxfId="57" dataCellStyle="Moeda"/>
    <tableColumn id="29" xr3:uid="{00000000-0010-0000-0100-00001D000000}" name="SEGURADORA" dataDxfId="56" dataCellStyle="Moeda"/>
    <tableColumn id="33" xr3:uid="{00000000-0010-0000-0100-000021000000}" name="STATUS SEGURADORA" dataDxfId="55" dataCellStyle="Moeda"/>
    <tableColumn id="32" xr3:uid="{00000000-0010-0000-0100-000020000000}" name="STATUS PERITO" dataDxfId="54" dataCellStyle="Moeda"/>
    <tableColumn id="35" xr3:uid="{00000000-0010-0000-0100-000023000000}" name="TIPO DO BEM" dataDxfId="53" dataCellStyle="Moeda"/>
    <tableColumn id="34" xr3:uid="{00000000-0010-0000-0100-000022000000}" name="DT LANÇAMENTO " dataDxfId="52" dataCellStyle="Moeda"/>
    <tableColumn id="28" xr3:uid="{00000000-0010-0000-0100-00001C000000}" name="KM RODADO EMPRESA" dataDxfId="51" dataCellStyle="Moeda"/>
    <tableColumn id="30" xr3:uid="{00000000-0010-0000-0100-00001E000000}" name="KM R$ EMPR" dataDxfId="50" dataCellStyle="Moeda"/>
    <tableColumn id="31" xr3:uid="{00000000-0010-0000-0100-00001F000000}" name="DT AGENDAMENTO" dataDxfId="49" dataCellStyle="Moeda"/>
    <tableColumn id="36" xr3:uid="{00000000-0010-0000-0100-000024000000}" name="HONORARIO EMPRESA" dataDxfId="48" dataCellStyle="Moeda"/>
    <tableColumn id="19" xr3:uid="{00000000-0010-0000-0100-000013000000}" name="TOTAL EMPRESA" dataDxfId="47" dataCellStyle="Moeda"/>
    <tableColumn id="39" xr3:uid="{00000000-0010-0000-0100-000027000000}" name="DT ENCERRAMENTO"/>
    <tableColumn id="21" xr3:uid="{00000000-0010-0000-0100-000015000000}" name="VLR ANP" dataDxfId="46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ela9" displayName="Tabela9" ref="A1:H2" totalsRowShown="0" headerRowDxfId="45" headerRowBorderDxfId="44" tableBorderDxfId="43">
  <autoFilter ref="A1:H2" xr:uid="{00000000-0009-0000-0100-000009000000}"/>
  <tableColumns count="8">
    <tableColumn id="1" xr3:uid="{00000000-0010-0000-0200-000001000000}" name="ID"/>
    <tableColumn id="2" xr3:uid="{00000000-0010-0000-0200-000002000000}" name="DATA LANCTO" dataDxfId="42"/>
    <tableColumn id="3" xr3:uid="{00000000-0010-0000-0200-000003000000}" name="TIPO"/>
    <tableColumn id="4" xr3:uid="{00000000-0010-0000-0200-000004000000}" name="VALOR" dataDxfId="41" dataCellStyle="Moeda"/>
    <tableColumn id="5" xr3:uid="{00000000-0010-0000-0200-000005000000}" name="STATUS"/>
    <tableColumn id="8" xr3:uid="{00000000-0010-0000-0200-000008000000}" name="PERITO"/>
    <tableColumn id="6" xr3:uid="{00000000-0010-0000-0200-000006000000}" name="DATA PAGAMENTO"/>
    <tableColumn id="9" xr3:uid="{00000000-0010-0000-0200-000009000000}" name="OBS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1" displayName="Tabela1" ref="A1:I2" totalsRowShown="0" headerRowDxfId="40">
  <tableColumns count="9">
    <tableColumn id="7" xr3:uid="{00000000-0010-0000-0300-000007000000}" name="ID" dataDxfId="39"/>
    <tableColumn id="1" xr3:uid="{00000000-0010-0000-0300-000001000000}" name="DT LANCAMENTO" dataDxfId="38"/>
    <tableColumn id="2" xr3:uid="{00000000-0010-0000-0300-000002000000}" name="DT PAGAMENTO" dataDxfId="37"/>
    <tableColumn id="3" xr3:uid="{00000000-0010-0000-0300-000003000000}" name="VALOR" dataDxfId="36"/>
    <tableColumn id="4" xr3:uid="{00000000-0010-0000-0300-000004000000}" name="DESCRIÇÃO"/>
    <tableColumn id="5" xr3:uid="{00000000-0010-0000-0300-000005000000}" name="FORNECEDOR"/>
    <tableColumn id="8" xr3:uid="{00000000-0010-0000-0300-000008000000}" name="PERITO"/>
    <tableColumn id="9" xr3:uid="{00000000-0010-0000-0300-000009000000}" name="TIPO"/>
    <tableColumn id="12" xr3:uid="{00000000-0010-0000-0300-00000C000000}" name="STATU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W2" totalsRowShown="0" headerRowDxfId="35">
  <tableColumns count="23">
    <tableColumn id="22" xr3:uid="{00000000-0010-0000-0400-000016000000}" name="ID" dataDxfId="34"/>
    <tableColumn id="1" xr3:uid="{00000000-0010-0000-0400-000001000000}" name="PERITO"/>
    <tableColumn id="2" xr3:uid="{00000000-0010-0000-0400-000002000000}" name="SINISTRO"/>
    <tableColumn id="3" xr3:uid="{00000000-0010-0000-0400-000003000000}" name="APOLICE" dataDxfId="33"/>
    <tableColumn id="4" xr3:uid="{00000000-0010-0000-0400-000004000000}" name="DT VISTORIA" dataDxfId="32" dataCellStyle="Moeda"/>
    <tableColumn id="5" xr3:uid="{00000000-0010-0000-0400-000005000000}" name="HONORÁRIO R$ " dataDxfId="31" dataCellStyle="Moeda"/>
    <tableColumn id="6" xr3:uid="{00000000-0010-0000-0400-000006000000}" name="VALOR KM R$" dataDxfId="30" dataCellStyle="Moeda"/>
    <tableColumn id="7" xr3:uid="{00000000-0010-0000-0400-000007000000}" name="HOTEL" dataDxfId="29" dataCellStyle="Moeda"/>
    <tableColumn id="8" xr3:uid="{00000000-0010-0000-0400-000008000000}" name="REFEIÇÃO" dataDxfId="28" dataCellStyle="Moeda"/>
    <tableColumn id="9" xr3:uid="{00000000-0010-0000-0400-000009000000}" name="PEDÁGIO " dataDxfId="27" dataCellStyle="Moeda"/>
    <tableColumn id="10" xr3:uid="{00000000-0010-0000-0400-00000A000000}" name="PASSAGEM ÁERA" dataDxfId="26" dataCellStyle="Moeda"/>
    <tableColumn id="11" xr3:uid="{00000000-0010-0000-0400-00000B000000}" name="ALUGUEL CARRO" dataDxfId="25" dataCellStyle="Moeda"/>
    <tableColumn id="12" xr3:uid="{00000000-0010-0000-0400-00000C000000}" name="OUTROS " dataDxfId="24" dataCellStyle="Moeda"/>
    <tableColumn id="13" xr3:uid="{00000000-0010-0000-0400-00000D000000}" name="TOTAL " dataDxfId="23" dataCellStyle="Moeda"/>
    <tableColumn id="14" xr3:uid="{00000000-0010-0000-0400-00000E000000}" name="DT LANCAMENTO" dataDxfId="22"/>
    <tableColumn id="15" xr3:uid="{00000000-0010-0000-0400-00000F000000}" name="TIPO"/>
    <tableColumn id="18" xr3:uid="{00000000-0010-0000-0400-000012000000}" name="STATUS"/>
    <tableColumn id="17" xr3:uid="{00000000-0010-0000-0400-000011000000}" name="DT RECEBIMENTO"/>
    <tableColumn id="19" xr3:uid="{00000000-0010-0000-0400-000013000000}" name="SEGURADORA"/>
    <tableColumn id="20" xr3:uid="{00000000-0010-0000-0400-000014000000}" name="NF"/>
    <tableColumn id="21" xr3:uid="{00000000-0010-0000-0400-000015000000}" name="SALDO" dataDxfId="21" dataCellStyle="Moeda"/>
    <tableColumn id="16" xr3:uid="{00000000-0010-0000-0400-000010000000}" name="Obs"/>
    <tableColumn id="23" xr3:uid="{00000000-0010-0000-0400-000017000000}" name="ID ORIGEM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ela7" displayName="Tabela7" ref="A1:T2" totalsRowShown="0" headerRowDxfId="20">
  <tableColumns count="20">
    <tableColumn id="19" xr3:uid="{00000000-0010-0000-0500-000013000000}" name="ID" dataDxfId="19"/>
    <tableColumn id="13" xr3:uid="{00000000-0010-0000-0500-00000D000000}" name="PERITO"/>
    <tableColumn id="14" xr3:uid="{00000000-0010-0000-0500-00000E000000}" name="SINISTRO"/>
    <tableColumn id="15" xr3:uid="{00000000-0010-0000-0500-00000F000000}" name="APOLICE" dataDxfId="18"/>
    <tableColumn id="16" xr3:uid="{00000000-0010-0000-0500-000010000000}" name="DT VISTORIA" dataDxfId="17" dataCellStyle="Moeda"/>
    <tableColumn id="1" xr3:uid="{00000000-0010-0000-0500-000001000000}" name="HONORÁRIO R$ " dataDxfId="16" dataCellStyle="Moeda"/>
    <tableColumn id="2" xr3:uid="{00000000-0010-0000-0500-000002000000}" name="VALOR KM R$" dataDxfId="15" dataCellStyle="Moeda"/>
    <tableColumn id="3" xr3:uid="{00000000-0010-0000-0500-000003000000}" name="HOTEL" dataDxfId="14" dataCellStyle="Moeda"/>
    <tableColumn id="4" xr3:uid="{00000000-0010-0000-0500-000004000000}" name="REFEIÇÃO" dataDxfId="13" dataCellStyle="Moeda"/>
    <tableColumn id="5" xr3:uid="{00000000-0010-0000-0500-000005000000}" name="PEDÁGIO " dataDxfId="12" dataCellStyle="Moeda"/>
    <tableColumn id="6" xr3:uid="{00000000-0010-0000-0500-000006000000}" name="PASSAGEM ÁERA" dataDxfId="11" dataCellStyle="Moeda"/>
    <tableColumn id="7" xr3:uid="{00000000-0010-0000-0500-000007000000}" name="ALUGUEL CARRO " dataDxfId="10" dataCellStyle="Moeda"/>
    <tableColumn id="8" xr3:uid="{00000000-0010-0000-0500-000008000000}" name="OUTROS " dataDxfId="9" dataCellStyle="Moeda"/>
    <tableColumn id="9" xr3:uid="{00000000-0010-0000-0500-000009000000}" name="TOTAL " dataDxfId="8" dataCellStyle="Moeda"/>
    <tableColumn id="10" xr3:uid="{00000000-0010-0000-0500-00000A000000}" name="DT LANCAMENTO" dataDxfId="7"/>
    <tableColumn id="12" xr3:uid="{00000000-0010-0000-0500-00000C000000}" name="TIPO"/>
    <tableColumn id="17" xr3:uid="{00000000-0010-0000-0500-000011000000}" name="STATUS"/>
    <tableColumn id="18" xr3:uid="{00000000-0010-0000-0500-000012000000}" name="DT PAGAMENTO"/>
    <tableColumn id="11" xr3:uid="{00000000-0010-0000-0500-00000B000000}" name="SEGURADORA"/>
    <tableColumn id="21" xr3:uid="{00000000-0010-0000-0500-000015000000}" name="ID ORIGEM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DSeguradora" displayName="BDSeguradora" ref="A1:F16" totalsRowShown="0" dataCellStyle="Moeda">
  <autoFilter ref="A1:F16" xr:uid="{00000000-0009-0000-0100-000006000000}"/>
  <tableColumns count="6">
    <tableColumn id="1" xr3:uid="{00000000-0010-0000-0600-000001000000}" name="CNPJ"/>
    <tableColumn id="2" xr3:uid="{00000000-0010-0000-0600-000002000000}" name="NOME" dataDxfId="5"/>
    <tableColumn id="3" xr3:uid="{00000000-0010-0000-0600-000003000000}" name="ENDEREÇO"/>
    <tableColumn id="4" xr3:uid="{00000000-0010-0000-0600-000004000000}" name="KM R$" dataDxfId="4" dataCellStyle="Moeda"/>
    <tableColumn id="5" xr3:uid="{00000000-0010-0000-0600-000005000000}" name="REFEIÇÃO R$" dataDxfId="3" dataCellStyle="Moeda"/>
    <tableColumn id="6" xr3:uid="{00000000-0010-0000-0600-000006000000}" name="HOSPEDAGEM R$" dataDxfId="2" dataCellStyle="Moeda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A1:E25" totalsRowShown="0" headerRowDxfId="1">
  <autoFilter ref="A1:E25" xr:uid="{00000000-0009-0000-0100-000005000000}"/>
  <tableColumns count="5">
    <tableColumn id="1" xr3:uid="{00000000-0010-0000-0700-000001000000}" name="NOME" dataDxfId="0"/>
    <tableColumn id="2" xr3:uid="{00000000-0010-0000-0700-000002000000}" name="ENDERECO"/>
    <tableColumn id="3" xr3:uid="{00000000-0010-0000-0700-000003000000}" name="CELULAR"/>
    <tableColumn id="4" xr3:uid="{00000000-0010-0000-0700-000004000000}" name="CREA"/>
    <tableColumn id="5" xr3:uid="{00000000-0010-0000-0700-000005000000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U1"/>
  <sheetViews>
    <sheetView showGridLines="0" showRowColHeaders="0" zoomScaleNormal="100" workbookViewId="0">
      <selection activeCell="U4" sqref="U4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AG178"/>
  <sheetViews>
    <sheetView tabSelected="1" topLeftCell="A25" workbookViewId="0">
      <selection activeCell="A178" sqref="A178:XFD178"/>
    </sheetView>
  </sheetViews>
  <sheetFormatPr defaultRowHeight="15" x14ac:dyDescent="0.25"/>
  <cols>
    <col min="1" max="1" width="5.42578125" style="27" bestFit="1" customWidth="1"/>
    <col min="2" max="3" width="21.7109375" style="6" customWidth="1"/>
    <col min="4" max="7" width="21.7109375" style="5" customWidth="1"/>
    <col min="8" max="10" width="21.7109375" customWidth="1"/>
    <col min="11" max="11" width="25.28515625" style="27" customWidth="1"/>
    <col min="12" max="12" width="4.140625" style="27" bestFit="1" customWidth="1"/>
    <col min="13" max="13" width="8.140625" bestFit="1" customWidth="1"/>
    <col min="14" max="14" width="9.28515625" bestFit="1" customWidth="1"/>
    <col min="15" max="15" width="21.7109375" customWidth="1"/>
    <col min="16" max="16" width="21.7109375" style="4" customWidth="1"/>
    <col min="17" max="17" width="16.140625" style="4" bestFit="1" customWidth="1"/>
    <col min="18" max="18" width="21.7109375" style="30" customWidth="1"/>
    <col min="19" max="19" width="21.7109375" style="7" customWidth="1"/>
    <col min="20" max="20" width="21.7109375" customWidth="1"/>
    <col min="21" max="21" width="21.7109375" style="7" customWidth="1"/>
    <col min="22" max="22" width="23.28515625" customWidth="1"/>
    <col min="23" max="27" width="21.7109375" style="7" customWidth="1"/>
    <col min="28" max="28" width="21.71093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8.5703125" bestFit="1" customWidth="1"/>
  </cols>
  <sheetData>
    <row r="1" spans="1:33" s="58" customFormat="1" ht="21.75" customHeight="1" x14ac:dyDescent="0.25">
      <c r="A1" s="27" t="s">
        <v>313</v>
      </c>
      <c r="B1" s="27" t="s">
        <v>84</v>
      </c>
      <c r="C1" s="27" t="s">
        <v>86</v>
      </c>
      <c r="D1" s="27" t="s">
        <v>87</v>
      </c>
      <c r="E1" s="27" t="s">
        <v>43</v>
      </c>
      <c r="F1" s="27" t="s">
        <v>51</v>
      </c>
      <c r="G1" s="59" t="s">
        <v>52</v>
      </c>
      <c r="H1" s="27" t="s">
        <v>53</v>
      </c>
      <c r="I1" s="27" t="s">
        <v>46</v>
      </c>
      <c r="J1" s="27" t="s">
        <v>54</v>
      </c>
      <c r="K1" s="27" t="s">
        <v>47</v>
      </c>
      <c r="L1" s="27" t="s">
        <v>48</v>
      </c>
      <c r="M1" s="27" t="s">
        <v>55</v>
      </c>
      <c r="N1" s="27" t="s">
        <v>56</v>
      </c>
      <c r="O1" s="27" t="s">
        <v>50</v>
      </c>
      <c r="P1" s="27" t="s">
        <v>57</v>
      </c>
      <c r="Q1" s="27" t="s">
        <v>58</v>
      </c>
      <c r="R1" s="27" t="s">
        <v>59</v>
      </c>
      <c r="S1" s="31" t="s">
        <v>85</v>
      </c>
      <c r="T1" s="27" t="s">
        <v>114</v>
      </c>
      <c r="U1" s="27" t="s">
        <v>60</v>
      </c>
      <c r="V1" s="27" t="s">
        <v>61</v>
      </c>
      <c r="W1" s="27" t="s">
        <v>62</v>
      </c>
      <c r="X1" s="27" t="s">
        <v>63</v>
      </c>
      <c r="Y1" s="27" t="s">
        <v>64</v>
      </c>
      <c r="Z1" s="27" t="s">
        <v>65</v>
      </c>
      <c r="AA1" s="27" t="s">
        <v>66</v>
      </c>
      <c r="AB1" s="27" t="s">
        <v>126</v>
      </c>
      <c r="AC1" s="27" t="s">
        <v>96</v>
      </c>
      <c r="AD1" s="27" t="s">
        <v>130</v>
      </c>
      <c r="AE1" s="27" t="s">
        <v>271</v>
      </c>
      <c r="AF1" s="27" t="s">
        <v>272</v>
      </c>
      <c r="AG1" s="66" t="s">
        <v>316</v>
      </c>
    </row>
    <row r="2" spans="1:33" x14ac:dyDescent="0.25">
      <c r="A2" s="68">
        <v>2</v>
      </c>
      <c r="B2" s="71">
        <v>44321</v>
      </c>
      <c r="C2" s="71">
        <v>44296</v>
      </c>
      <c r="D2" s="59">
        <v>44296</v>
      </c>
      <c r="E2" s="65">
        <v>2519</v>
      </c>
      <c r="F2" s="65"/>
      <c r="G2" s="59">
        <v>2010104541</v>
      </c>
      <c r="H2" s="65"/>
      <c r="I2" s="65" t="s">
        <v>332</v>
      </c>
      <c r="J2" s="27"/>
      <c r="K2" s="65" t="s">
        <v>333</v>
      </c>
      <c r="L2" s="65" t="s">
        <v>16</v>
      </c>
      <c r="M2" s="27" t="s">
        <v>400</v>
      </c>
      <c r="N2" s="65" t="s">
        <v>83</v>
      </c>
      <c r="O2" s="65" t="s">
        <v>148</v>
      </c>
      <c r="P2" s="66" t="s">
        <v>74</v>
      </c>
      <c r="Q2" s="65">
        <v>143.34</v>
      </c>
      <c r="R2" s="65">
        <v>80</v>
      </c>
      <c r="S2" s="69" t="s">
        <v>274</v>
      </c>
      <c r="T2" s="81">
        <v>150</v>
      </c>
      <c r="U2" s="70">
        <v>400</v>
      </c>
      <c r="V2" s="81">
        <v>480</v>
      </c>
      <c r="W2" s="70">
        <v>0</v>
      </c>
      <c r="X2" s="81">
        <v>0</v>
      </c>
      <c r="Y2" s="81">
        <v>140.5</v>
      </c>
      <c r="Z2" s="81">
        <v>0</v>
      </c>
      <c r="AA2" s="81">
        <v>0</v>
      </c>
      <c r="AB2" s="81">
        <v>770.5</v>
      </c>
      <c r="AC2" s="71">
        <v>44337</v>
      </c>
      <c r="AD2" s="71">
        <v>44296</v>
      </c>
      <c r="AE2" s="82">
        <v>356</v>
      </c>
      <c r="AF2" s="82">
        <v>976.5</v>
      </c>
      <c r="AG2" s="82">
        <v>1.2</v>
      </c>
    </row>
    <row r="3" spans="1:33" x14ac:dyDescent="0.25">
      <c r="A3" s="68">
        <v>3</v>
      </c>
      <c r="B3" s="71">
        <v>44274</v>
      </c>
      <c r="C3" s="65"/>
      <c r="D3" s="59"/>
      <c r="E3" s="65"/>
      <c r="F3" s="65">
        <v>2202102457</v>
      </c>
      <c r="G3" s="59"/>
      <c r="H3" s="65"/>
      <c r="I3" s="65" t="s">
        <v>336</v>
      </c>
      <c r="J3" s="27"/>
      <c r="K3" s="65" t="s">
        <v>337</v>
      </c>
      <c r="L3" s="65" t="s">
        <v>21</v>
      </c>
      <c r="M3" s="27" t="s">
        <v>400</v>
      </c>
      <c r="N3" s="65" t="s">
        <v>83</v>
      </c>
      <c r="O3" s="65" t="s">
        <v>150</v>
      </c>
      <c r="P3" s="66"/>
      <c r="Q3" s="65">
        <v>55</v>
      </c>
      <c r="R3" s="65"/>
      <c r="S3" s="69" t="s">
        <v>276</v>
      </c>
      <c r="T3" s="70"/>
      <c r="U3" s="70"/>
      <c r="V3" s="49"/>
      <c r="W3" s="70"/>
      <c r="X3" s="70"/>
      <c r="Y3" s="49"/>
      <c r="Z3" s="70"/>
      <c r="AA3" s="70"/>
      <c r="AB3" s="86"/>
      <c r="AC3" s="71">
        <v>44344</v>
      </c>
      <c r="AD3" s="65"/>
      <c r="AE3" s="27"/>
      <c r="AF3" s="65"/>
      <c r="AG3" s="65"/>
    </row>
    <row r="4" spans="1:33" x14ac:dyDescent="0.25">
      <c r="A4" s="68">
        <v>4</v>
      </c>
      <c r="B4" s="71">
        <v>44274</v>
      </c>
      <c r="C4" s="65"/>
      <c r="D4" s="59"/>
      <c r="E4" s="65"/>
      <c r="F4" s="65">
        <v>2202102463</v>
      </c>
      <c r="G4" s="59"/>
      <c r="H4" s="65"/>
      <c r="I4" s="65" t="s">
        <v>338</v>
      </c>
      <c r="J4" s="27"/>
      <c r="K4" s="65" t="s">
        <v>337</v>
      </c>
      <c r="L4" s="65" t="s">
        <v>21</v>
      </c>
      <c r="M4" s="27" t="s">
        <v>400</v>
      </c>
      <c r="N4" s="65" t="s">
        <v>83</v>
      </c>
      <c r="O4" s="65" t="s">
        <v>150</v>
      </c>
      <c r="P4" s="66"/>
      <c r="Q4" s="65">
        <v>55</v>
      </c>
      <c r="R4" s="65"/>
      <c r="S4" s="69" t="s">
        <v>276</v>
      </c>
      <c r="T4" s="70"/>
      <c r="U4" s="70"/>
      <c r="V4" s="49"/>
      <c r="W4" s="70"/>
      <c r="X4" s="70"/>
      <c r="Y4" s="49"/>
      <c r="Z4" s="70"/>
      <c r="AA4" s="70"/>
      <c r="AB4" s="86"/>
      <c r="AC4" s="71">
        <v>44344</v>
      </c>
      <c r="AD4" s="65"/>
      <c r="AE4" s="27"/>
      <c r="AF4" s="65"/>
      <c r="AG4" s="65"/>
    </row>
    <row r="5" spans="1:33" x14ac:dyDescent="0.25">
      <c r="A5" s="68">
        <v>5</v>
      </c>
      <c r="B5" s="71">
        <v>44274</v>
      </c>
      <c r="C5" s="65"/>
      <c r="D5" s="59"/>
      <c r="E5" s="65"/>
      <c r="F5" s="65">
        <v>2202101162</v>
      </c>
      <c r="G5" s="59"/>
      <c r="H5" s="65"/>
      <c r="I5" s="65" t="s">
        <v>339</v>
      </c>
      <c r="J5" s="27"/>
      <c r="K5" s="65" t="s">
        <v>340</v>
      </c>
      <c r="L5" s="65" t="s">
        <v>21</v>
      </c>
      <c r="M5" s="27" t="s">
        <v>400</v>
      </c>
      <c r="N5" s="65" t="s">
        <v>83</v>
      </c>
      <c r="O5" s="65" t="s">
        <v>136</v>
      </c>
      <c r="P5" s="66"/>
      <c r="Q5" s="65">
        <v>21.49</v>
      </c>
      <c r="R5" s="65"/>
      <c r="S5" s="69" t="s">
        <v>276</v>
      </c>
      <c r="T5" s="70"/>
      <c r="U5" s="70"/>
      <c r="V5" s="49"/>
      <c r="W5" s="70"/>
      <c r="X5" s="70"/>
      <c r="Y5" s="49"/>
      <c r="Z5" s="70"/>
      <c r="AA5" s="70"/>
      <c r="AB5" s="86"/>
      <c r="AC5" s="71">
        <v>44344</v>
      </c>
      <c r="AD5" s="65"/>
      <c r="AE5" s="27"/>
      <c r="AF5" s="65"/>
      <c r="AG5" s="65"/>
    </row>
    <row r="6" spans="1:33" x14ac:dyDescent="0.25">
      <c r="A6" s="68">
        <v>6</v>
      </c>
      <c r="B6" s="71">
        <v>44274</v>
      </c>
      <c r="C6" s="65"/>
      <c r="D6" s="59"/>
      <c r="E6" s="65"/>
      <c r="F6" s="65">
        <v>2202101313</v>
      </c>
      <c r="G6" s="59"/>
      <c r="H6" s="65"/>
      <c r="I6" s="65" t="s">
        <v>341</v>
      </c>
      <c r="J6" s="27"/>
      <c r="K6" s="65" t="s">
        <v>342</v>
      </c>
      <c r="L6" s="65" t="s">
        <v>21</v>
      </c>
      <c r="M6" s="27" t="s">
        <v>400</v>
      </c>
      <c r="N6" s="65" t="s">
        <v>83</v>
      </c>
      <c r="O6" s="65" t="s">
        <v>136</v>
      </c>
      <c r="P6" s="66"/>
      <c r="Q6" s="65">
        <v>25</v>
      </c>
      <c r="R6" s="65"/>
      <c r="S6" s="69" t="s">
        <v>276</v>
      </c>
      <c r="T6" s="70"/>
      <c r="U6" s="70"/>
      <c r="V6" s="49"/>
      <c r="W6" s="70"/>
      <c r="X6" s="70"/>
      <c r="Y6" s="49"/>
      <c r="Z6" s="70"/>
      <c r="AA6" s="70"/>
      <c r="AB6" s="86"/>
      <c r="AC6" s="71">
        <v>44344</v>
      </c>
      <c r="AD6" s="65"/>
      <c r="AE6" s="27"/>
      <c r="AF6" s="65"/>
      <c r="AG6" s="65"/>
    </row>
    <row r="7" spans="1:33" x14ac:dyDescent="0.25">
      <c r="A7" s="68">
        <v>7</v>
      </c>
      <c r="B7" s="71">
        <v>44286</v>
      </c>
      <c r="C7" s="65"/>
      <c r="D7" s="59"/>
      <c r="E7" s="65"/>
      <c r="F7" s="65">
        <v>2202102855</v>
      </c>
      <c r="G7" s="59"/>
      <c r="H7" s="65"/>
      <c r="I7" s="65" t="s">
        <v>343</v>
      </c>
      <c r="J7" s="27"/>
      <c r="K7" s="65" t="s">
        <v>344</v>
      </c>
      <c r="L7" s="65" t="s">
        <v>25</v>
      </c>
      <c r="M7" s="27" t="s">
        <v>400</v>
      </c>
      <c r="N7" s="65" t="s">
        <v>83</v>
      </c>
      <c r="O7" s="65" t="s">
        <v>135</v>
      </c>
      <c r="P7" s="66"/>
      <c r="Q7" s="65">
        <v>32.700000000000003</v>
      </c>
      <c r="R7" s="65"/>
      <c r="S7" s="69" t="s">
        <v>276</v>
      </c>
      <c r="T7" s="70"/>
      <c r="U7" s="70"/>
      <c r="V7" s="49"/>
      <c r="W7" s="70"/>
      <c r="X7" s="70"/>
      <c r="Y7" s="49"/>
      <c r="Z7" s="70"/>
      <c r="AA7" s="70"/>
      <c r="AB7" s="86"/>
      <c r="AC7" s="71">
        <v>44344</v>
      </c>
      <c r="AD7" s="65"/>
      <c r="AE7" s="27"/>
      <c r="AF7" s="65"/>
      <c r="AG7" s="65"/>
    </row>
    <row r="8" spans="1:33" x14ac:dyDescent="0.25">
      <c r="A8" s="68">
        <v>8</v>
      </c>
      <c r="B8" s="71">
        <v>44292</v>
      </c>
      <c r="C8" s="65"/>
      <c r="D8" s="59"/>
      <c r="E8" s="65"/>
      <c r="F8" s="65">
        <v>2202103015</v>
      </c>
      <c r="G8" s="59"/>
      <c r="H8" s="65"/>
      <c r="I8" s="65" t="s">
        <v>345</v>
      </c>
      <c r="J8" s="27"/>
      <c r="K8" s="65" t="s">
        <v>346</v>
      </c>
      <c r="L8" s="65" t="s">
        <v>9</v>
      </c>
      <c r="M8" s="27" t="s">
        <v>400</v>
      </c>
      <c r="N8" s="65" t="s">
        <v>83</v>
      </c>
      <c r="O8" s="65" t="s">
        <v>133</v>
      </c>
      <c r="P8" s="66"/>
      <c r="Q8" s="65">
        <v>134</v>
      </c>
      <c r="R8" s="65"/>
      <c r="S8" s="69" t="s">
        <v>276</v>
      </c>
      <c r="T8" s="70"/>
      <c r="U8" s="70"/>
      <c r="V8" s="49"/>
      <c r="W8" s="70"/>
      <c r="X8" s="70"/>
      <c r="Y8" s="49"/>
      <c r="Z8" s="70"/>
      <c r="AA8" s="70"/>
      <c r="AB8" s="86"/>
      <c r="AC8" s="71">
        <v>44344</v>
      </c>
      <c r="AD8" s="65"/>
      <c r="AE8" s="27"/>
      <c r="AF8" s="65"/>
      <c r="AG8" s="65"/>
    </row>
    <row r="9" spans="1:33" x14ac:dyDescent="0.25">
      <c r="A9" s="68">
        <v>9</v>
      </c>
      <c r="B9" s="71">
        <v>44290</v>
      </c>
      <c r="C9" s="65"/>
      <c r="D9" s="59"/>
      <c r="E9" s="65"/>
      <c r="F9" s="65">
        <v>1202100971</v>
      </c>
      <c r="G9" s="59"/>
      <c r="H9" s="65"/>
      <c r="I9" s="65" t="s">
        <v>347</v>
      </c>
      <c r="J9" s="27"/>
      <c r="K9" s="65" t="s">
        <v>348</v>
      </c>
      <c r="L9" s="65" t="s">
        <v>16</v>
      </c>
      <c r="M9" s="27" t="s">
        <v>400</v>
      </c>
      <c r="N9" s="65" t="s">
        <v>83</v>
      </c>
      <c r="O9" s="65" t="s">
        <v>138</v>
      </c>
      <c r="P9" s="66"/>
      <c r="Q9" s="65">
        <v>25</v>
      </c>
      <c r="R9" s="65"/>
      <c r="S9" s="69" t="s">
        <v>276</v>
      </c>
      <c r="T9" s="70"/>
      <c r="U9" s="70"/>
      <c r="V9" s="49"/>
      <c r="W9" s="70"/>
      <c r="X9" s="70"/>
      <c r="Y9" s="49"/>
      <c r="Z9" s="70"/>
      <c r="AA9" s="70"/>
      <c r="AB9" s="86"/>
      <c r="AC9" s="71">
        <v>44344</v>
      </c>
      <c r="AD9" s="65"/>
      <c r="AE9" s="27"/>
      <c r="AF9" s="65"/>
      <c r="AG9" s="65"/>
    </row>
    <row r="10" spans="1:33" x14ac:dyDescent="0.25">
      <c r="A10" s="68">
        <v>10</v>
      </c>
      <c r="B10" s="71">
        <v>44290</v>
      </c>
      <c r="C10" s="65"/>
      <c r="D10" s="59"/>
      <c r="E10" s="65"/>
      <c r="F10" s="65">
        <v>1202100970</v>
      </c>
      <c r="G10" s="59"/>
      <c r="H10" s="65"/>
      <c r="I10" s="65" t="s">
        <v>347</v>
      </c>
      <c r="J10" s="27"/>
      <c r="K10" s="65" t="s">
        <v>348</v>
      </c>
      <c r="L10" s="65" t="s">
        <v>16</v>
      </c>
      <c r="M10" s="27" t="s">
        <v>400</v>
      </c>
      <c r="N10" s="65" t="s">
        <v>83</v>
      </c>
      <c r="O10" s="65" t="s">
        <v>138</v>
      </c>
      <c r="P10" s="66"/>
      <c r="Q10" s="65">
        <v>16.899999999999999</v>
      </c>
      <c r="R10" s="65"/>
      <c r="S10" s="69" t="s">
        <v>276</v>
      </c>
      <c r="T10" s="70"/>
      <c r="U10" s="70"/>
      <c r="V10" s="49"/>
      <c r="W10" s="70"/>
      <c r="X10" s="70"/>
      <c r="Y10" s="49"/>
      <c r="Z10" s="70"/>
      <c r="AA10" s="70"/>
      <c r="AB10" s="86"/>
      <c r="AC10" s="71">
        <v>44344</v>
      </c>
      <c r="AD10" s="65"/>
      <c r="AE10" s="27"/>
      <c r="AF10" s="65"/>
      <c r="AG10" s="65"/>
    </row>
    <row r="11" spans="1:33" x14ac:dyDescent="0.25">
      <c r="A11" s="68">
        <v>11</v>
      </c>
      <c r="B11" s="71">
        <v>44293</v>
      </c>
      <c r="C11" s="65"/>
      <c r="D11" s="59"/>
      <c r="E11" s="65"/>
      <c r="F11" s="65">
        <v>2202103084</v>
      </c>
      <c r="G11" s="59"/>
      <c r="H11" s="65"/>
      <c r="I11" s="65" t="s">
        <v>349</v>
      </c>
      <c r="J11" s="27"/>
      <c r="K11" s="65" t="s">
        <v>350</v>
      </c>
      <c r="L11" s="65" t="s">
        <v>16</v>
      </c>
      <c r="M11" s="27" t="s">
        <v>400</v>
      </c>
      <c r="N11" s="65" t="s">
        <v>83</v>
      </c>
      <c r="O11" s="65" t="s">
        <v>134</v>
      </c>
      <c r="P11" s="66"/>
      <c r="Q11" s="65">
        <v>104</v>
      </c>
      <c r="R11" s="65"/>
      <c r="S11" s="69" t="s">
        <v>276</v>
      </c>
      <c r="T11" s="70"/>
      <c r="U11" s="70"/>
      <c r="V11" s="49"/>
      <c r="W11" s="70"/>
      <c r="X11" s="70"/>
      <c r="Y11" s="49"/>
      <c r="Z11" s="70"/>
      <c r="AA11" s="70"/>
      <c r="AB11" s="86"/>
      <c r="AC11" s="71">
        <v>44344</v>
      </c>
      <c r="AD11" s="65"/>
      <c r="AE11" s="27"/>
      <c r="AF11" s="65"/>
      <c r="AG11" s="65"/>
    </row>
    <row r="12" spans="1:33" x14ac:dyDescent="0.25">
      <c r="A12" s="68">
        <v>12</v>
      </c>
      <c r="B12" s="71">
        <v>44314</v>
      </c>
      <c r="C12" s="65"/>
      <c r="D12" s="59"/>
      <c r="E12" s="65"/>
      <c r="F12" s="65">
        <v>2202103606</v>
      </c>
      <c r="G12" s="59"/>
      <c r="H12" s="65"/>
      <c r="I12" s="65" t="s">
        <v>351</v>
      </c>
      <c r="J12" s="27"/>
      <c r="K12" s="65" t="s">
        <v>352</v>
      </c>
      <c r="L12" s="65" t="s">
        <v>25</v>
      </c>
      <c r="M12" s="27" t="s">
        <v>400</v>
      </c>
      <c r="N12" s="65" t="s">
        <v>83</v>
      </c>
      <c r="O12" s="65" t="s">
        <v>135</v>
      </c>
      <c r="P12" s="66"/>
      <c r="Q12" s="65">
        <v>27.37</v>
      </c>
      <c r="R12" s="65"/>
      <c r="S12" s="69" t="s">
        <v>276</v>
      </c>
      <c r="T12" s="70"/>
      <c r="U12" s="70"/>
      <c r="V12" s="49"/>
      <c r="W12" s="70"/>
      <c r="X12" s="70"/>
      <c r="Y12" s="49"/>
      <c r="Z12" s="70"/>
      <c r="AA12" s="70"/>
      <c r="AB12" s="86"/>
      <c r="AC12" s="71">
        <v>44344</v>
      </c>
      <c r="AD12" s="65"/>
      <c r="AE12" s="27"/>
      <c r="AF12" s="65"/>
      <c r="AG12" s="65"/>
    </row>
    <row r="13" spans="1:33" x14ac:dyDescent="0.25">
      <c r="A13" s="68">
        <v>13</v>
      </c>
      <c r="B13" s="71">
        <v>44314</v>
      </c>
      <c r="C13" s="65"/>
      <c r="D13" s="59"/>
      <c r="E13" s="65"/>
      <c r="F13" s="65">
        <v>2202103607</v>
      </c>
      <c r="G13" s="59"/>
      <c r="H13" s="65"/>
      <c r="I13" s="65" t="s">
        <v>351</v>
      </c>
      <c r="J13" s="27"/>
      <c r="K13" s="65" t="s">
        <v>352</v>
      </c>
      <c r="L13" s="65" t="s">
        <v>25</v>
      </c>
      <c r="M13" s="27" t="s">
        <v>400</v>
      </c>
      <c r="N13" s="65" t="s">
        <v>83</v>
      </c>
      <c r="O13" s="65" t="s">
        <v>135</v>
      </c>
      <c r="P13" s="66"/>
      <c r="Q13" s="65">
        <v>24.2</v>
      </c>
      <c r="R13" s="65"/>
      <c r="S13" s="69" t="s">
        <v>276</v>
      </c>
      <c r="T13" s="70"/>
      <c r="U13" s="70"/>
      <c r="V13" s="49"/>
      <c r="W13" s="70"/>
      <c r="X13" s="70"/>
      <c r="Y13" s="49"/>
      <c r="Z13" s="70"/>
      <c r="AA13" s="70"/>
      <c r="AB13" s="86"/>
      <c r="AC13" s="71">
        <v>44344</v>
      </c>
      <c r="AD13" s="65"/>
      <c r="AE13" s="27"/>
      <c r="AF13" s="65"/>
      <c r="AG13" s="65"/>
    </row>
    <row r="14" spans="1:33" x14ac:dyDescent="0.25">
      <c r="A14" s="68">
        <v>14</v>
      </c>
      <c r="B14" s="71">
        <v>44314</v>
      </c>
      <c r="C14" s="65"/>
      <c r="D14" s="59"/>
      <c r="E14" s="65"/>
      <c r="F14" s="65">
        <v>2202103619</v>
      </c>
      <c r="G14" s="59"/>
      <c r="H14" s="65"/>
      <c r="I14" s="65" t="s">
        <v>353</v>
      </c>
      <c r="J14" s="27"/>
      <c r="K14" s="65" t="s">
        <v>352</v>
      </c>
      <c r="L14" s="65" t="s">
        <v>25</v>
      </c>
      <c r="M14" s="27" t="s">
        <v>400</v>
      </c>
      <c r="N14" s="65" t="s">
        <v>354</v>
      </c>
      <c r="O14" s="65" t="s">
        <v>135</v>
      </c>
      <c r="P14" s="66"/>
      <c r="Q14" s="65">
        <v>50.82</v>
      </c>
      <c r="R14" s="65"/>
      <c r="S14" s="69" t="s">
        <v>276</v>
      </c>
      <c r="T14" s="70"/>
      <c r="U14" s="70"/>
      <c r="V14" s="49"/>
      <c r="W14" s="70"/>
      <c r="X14" s="70"/>
      <c r="Y14" s="49"/>
      <c r="Z14" s="70"/>
      <c r="AA14" s="70"/>
      <c r="AB14" s="86"/>
      <c r="AC14" s="71">
        <v>44344</v>
      </c>
      <c r="AD14" s="65"/>
      <c r="AE14" s="27"/>
      <c r="AF14" s="65"/>
      <c r="AG14" s="65"/>
    </row>
    <row r="15" spans="1:33" x14ac:dyDescent="0.25">
      <c r="A15" s="68">
        <v>15</v>
      </c>
      <c r="B15" s="71">
        <v>44314</v>
      </c>
      <c r="C15" s="65"/>
      <c r="D15" s="59"/>
      <c r="E15" s="65"/>
      <c r="F15" s="65">
        <v>2202103601</v>
      </c>
      <c r="G15" s="59"/>
      <c r="H15" s="65"/>
      <c r="I15" s="65" t="s">
        <v>355</v>
      </c>
      <c r="J15" s="27"/>
      <c r="K15" s="65" t="s">
        <v>356</v>
      </c>
      <c r="L15" s="65" t="s">
        <v>9</v>
      </c>
      <c r="M15" s="27" t="s">
        <v>400</v>
      </c>
      <c r="N15" s="65" t="s">
        <v>354</v>
      </c>
      <c r="O15" s="65" t="s">
        <v>133</v>
      </c>
      <c r="P15" s="66"/>
      <c r="Q15" s="65">
        <v>425.12</v>
      </c>
      <c r="R15" s="65"/>
      <c r="S15" s="69" t="s">
        <v>276</v>
      </c>
      <c r="T15" s="70"/>
      <c r="U15" s="70"/>
      <c r="V15" s="49"/>
      <c r="W15" s="70"/>
      <c r="X15" s="70"/>
      <c r="Y15" s="49"/>
      <c r="Z15" s="70"/>
      <c r="AA15" s="70"/>
      <c r="AB15" s="86"/>
      <c r="AC15" s="71">
        <v>44344</v>
      </c>
      <c r="AD15" s="65"/>
      <c r="AE15" s="27"/>
      <c r="AF15" s="65"/>
      <c r="AG15" s="65"/>
    </row>
    <row r="16" spans="1:33" x14ac:dyDescent="0.25">
      <c r="A16" s="68">
        <v>16</v>
      </c>
      <c r="B16" s="71">
        <v>44314</v>
      </c>
      <c r="C16" s="65"/>
      <c r="D16" s="59"/>
      <c r="E16" s="65"/>
      <c r="F16" s="65">
        <v>2202103603</v>
      </c>
      <c r="G16" s="59"/>
      <c r="H16" s="65"/>
      <c r="I16" s="65" t="s">
        <v>357</v>
      </c>
      <c r="J16" s="27"/>
      <c r="K16" s="65" t="s">
        <v>356</v>
      </c>
      <c r="L16" s="65" t="s">
        <v>9</v>
      </c>
      <c r="M16" s="27" t="s">
        <v>400</v>
      </c>
      <c r="N16" s="65" t="s">
        <v>83</v>
      </c>
      <c r="O16" s="65" t="s">
        <v>133</v>
      </c>
      <c r="P16" s="66"/>
      <c r="Q16" s="65">
        <v>141.81</v>
      </c>
      <c r="R16" s="65"/>
      <c r="S16" s="69" t="s">
        <v>276</v>
      </c>
      <c r="T16" s="70"/>
      <c r="U16" s="70"/>
      <c r="V16" s="49"/>
      <c r="W16" s="70"/>
      <c r="X16" s="70"/>
      <c r="Y16" s="49"/>
      <c r="Z16" s="70"/>
      <c r="AA16" s="70"/>
      <c r="AB16" s="86"/>
      <c r="AC16" s="71">
        <v>44344</v>
      </c>
      <c r="AD16" s="65"/>
      <c r="AE16" s="27"/>
      <c r="AF16" s="65"/>
      <c r="AG16" s="65"/>
    </row>
    <row r="17" spans="1:33" x14ac:dyDescent="0.25">
      <c r="A17" s="68">
        <v>17</v>
      </c>
      <c r="B17" s="71">
        <v>44319</v>
      </c>
      <c r="C17" s="65"/>
      <c r="D17" s="59"/>
      <c r="E17" s="65"/>
      <c r="F17" s="65">
        <v>2202103873</v>
      </c>
      <c r="G17" s="59"/>
      <c r="H17" s="65"/>
      <c r="I17" s="65" t="s">
        <v>358</v>
      </c>
      <c r="J17" s="27"/>
      <c r="K17" s="65" t="s">
        <v>359</v>
      </c>
      <c r="L17" s="65" t="s">
        <v>12</v>
      </c>
      <c r="M17" s="27" t="s">
        <v>400</v>
      </c>
      <c r="N17" s="65" t="s">
        <v>83</v>
      </c>
      <c r="O17" s="65" t="s">
        <v>137</v>
      </c>
      <c r="P17" s="66"/>
      <c r="Q17" s="65">
        <v>140</v>
      </c>
      <c r="R17" s="65"/>
      <c r="S17" s="69" t="s">
        <v>276</v>
      </c>
      <c r="T17" s="70"/>
      <c r="U17" s="70"/>
      <c r="V17" s="49"/>
      <c r="W17" s="70"/>
      <c r="X17" s="70"/>
      <c r="Y17" s="49"/>
      <c r="Z17" s="70"/>
      <c r="AA17" s="70"/>
      <c r="AB17" s="86"/>
      <c r="AC17" s="71">
        <v>44344</v>
      </c>
      <c r="AD17" s="65"/>
      <c r="AE17" s="27"/>
      <c r="AF17" s="65"/>
      <c r="AG17" s="65"/>
    </row>
    <row r="18" spans="1:33" x14ac:dyDescent="0.25">
      <c r="A18" s="68">
        <v>18</v>
      </c>
      <c r="B18" s="71">
        <v>44319</v>
      </c>
      <c r="C18" s="65"/>
      <c r="D18" s="59"/>
      <c r="E18" s="65"/>
      <c r="F18" s="65">
        <v>2202103895</v>
      </c>
      <c r="G18" s="59"/>
      <c r="H18" s="65"/>
      <c r="I18" s="65" t="s">
        <v>360</v>
      </c>
      <c r="J18" s="27"/>
      <c r="K18" s="65" t="s">
        <v>361</v>
      </c>
      <c r="L18" s="65" t="s">
        <v>9</v>
      </c>
      <c r="M18" s="27" t="s">
        <v>400</v>
      </c>
      <c r="N18" s="65" t="s">
        <v>83</v>
      </c>
      <c r="O18" s="65" t="s">
        <v>362</v>
      </c>
      <c r="P18" s="66"/>
      <c r="Q18" s="65">
        <v>80</v>
      </c>
      <c r="R18" s="65"/>
      <c r="S18" s="69" t="s">
        <v>276</v>
      </c>
      <c r="T18" s="70"/>
      <c r="U18" s="70"/>
      <c r="V18" s="49"/>
      <c r="W18" s="70"/>
      <c r="X18" s="70"/>
      <c r="Y18" s="49"/>
      <c r="Z18" s="70"/>
      <c r="AA18" s="70"/>
      <c r="AB18" s="86"/>
      <c r="AC18" s="71">
        <v>44344</v>
      </c>
      <c r="AD18" s="65"/>
      <c r="AE18" s="27"/>
      <c r="AF18" s="65"/>
      <c r="AG18" s="65"/>
    </row>
    <row r="19" spans="1:33" x14ac:dyDescent="0.25">
      <c r="A19" s="68">
        <v>19</v>
      </c>
      <c r="B19" s="71">
        <v>44319</v>
      </c>
      <c r="C19" s="65"/>
      <c r="D19" s="59"/>
      <c r="E19" s="65"/>
      <c r="F19" s="65">
        <v>2202103926</v>
      </c>
      <c r="G19" s="59"/>
      <c r="H19" s="65"/>
      <c r="I19" s="65" t="s">
        <v>363</v>
      </c>
      <c r="J19" s="27"/>
      <c r="K19" s="65" t="s">
        <v>364</v>
      </c>
      <c r="L19" s="65" t="s">
        <v>9</v>
      </c>
      <c r="M19" s="27" t="s">
        <v>400</v>
      </c>
      <c r="N19" s="65" t="s">
        <v>83</v>
      </c>
      <c r="O19" s="65" t="s">
        <v>362</v>
      </c>
      <c r="P19" s="66"/>
      <c r="Q19" s="65">
        <v>118</v>
      </c>
      <c r="R19" s="65"/>
      <c r="S19" s="69" t="s">
        <v>276</v>
      </c>
      <c r="T19" s="70"/>
      <c r="U19" s="70"/>
      <c r="V19" s="49"/>
      <c r="W19" s="70"/>
      <c r="X19" s="70"/>
      <c r="Y19" s="49"/>
      <c r="Z19" s="70"/>
      <c r="AA19" s="70"/>
      <c r="AB19" s="86"/>
      <c r="AC19" s="71">
        <v>44344</v>
      </c>
      <c r="AD19" s="65"/>
      <c r="AE19" s="27"/>
      <c r="AF19" s="65"/>
      <c r="AG19" s="65"/>
    </row>
    <row r="20" spans="1:33" x14ac:dyDescent="0.25">
      <c r="A20" s="68">
        <v>20</v>
      </c>
      <c r="B20" s="71">
        <v>44319</v>
      </c>
      <c r="C20" s="65"/>
      <c r="D20" s="59"/>
      <c r="E20" s="65"/>
      <c r="F20" s="65">
        <v>2202103894</v>
      </c>
      <c r="G20" s="59"/>
      <c r="H20" s="65"/>
      <c r="I20" s="65" t="s">
        <v>360</v>
      </c>
      <c r="J20" s="27"/>
      <c r="K20" s="65" t="s">
        <v>361</v>
      </c>
      <c r="L20" s="65" t="s">
        <v>9</v>
      </c>
      <c r="M20" s="27" t="s">
        <v>400</v>
      </c>
      <c r="N20" s="65" t="s">
        <v>83</v>
      </c>
      <c r="O20" s="65" t="s">
        <v>362</v>
      </c>
      <c r="P20" s="66"/>
      <c r="Q20" s="65">
        <v>327.5</v>
      </c>
      <c r="R20" s="65"/>
      <c r="S20" s="69" t="s">
        <v>276</v>
      </c>
      <c r="T20" s="70"/>
      <c r="U20" s="70"/>
      <c r="V20" s="49"/>
      <c r="W20" s="70"/>
      <c r="X20" s="70"/>
      <c r="Y20" s="49"/>
      <c r="Z20" s="70"/>
      <c r="AA20" s="70"/>
      <c r="AB20" s="86"/>
      <c r="AC20" s="71">
        <v>44344</v>
      </c>
      <c r="AD20" s="65"/>
      <c r="AE20" s="27"/>
      <c r="AF20" s="65"/>
      <c r="AG20" s="65"/>
    </row>
    <row r="21" spans="1:33" x14ac:dyDescent="0.25">
      <c r="A21" s="68">
        <v>21</v>
      </c>
      <c r="B21" s="71">
        <v>44319</v>
      </c>
      <c r="C21" s="65"/>
      <c r="D21" s="59"/>
      <c r="E21" s="65"/>
      <c r="F21" s="65">
        <v>2202103874</v>
      </c>
      <c r="G21" s="59"/>
      <c r="H21" s="65"/>
      <c r="I21" s="65" t="s">
        <v>365</v>
      </c>
      <c r="J21" s="27"/>
      <c r="K21" s="65" t="s">
        <v>364</v>
      </c>
      <c r="L21" s="65" t="s">
        <v>9</v>
      </c>
      <c r="M21" s="27" t="s">
        <v>400</v>
      </c>
      <c r="N21" s="65" t="s">
        <v>83</v>
      </c>
      <c r="O21" s="65" t="s">
        <v>362</v>
      </c>
      <c r="P21" s="66"/>
      <c r="Q21" s="65">
        <v>35.69</v>
      </c>
      <c r="R21" s="65"/>
      <c r="S21" s="69" t="s">
        <v>276</v>
      </c>
      <c r="T21" s="70"/>
      <c r="U21" s="70"/>
      <c r="V21" s="49"/>
      <c r="W21" s="70"/>
      <c r="X21" s="70"/>
      <c r="Y21" s="49"/>
      <c r="Z21" s="70"/>
      <c r="AA21" s="70"/>
      <c r="AB21" s="86"/>
      <c r="AC21" s="71">
        <v>44344</v>
      </c>
      <c r="AD21" s="65"/>
      <c r="AE21" s="27"/>
      <c r="AF21" s="65"/>
      <c r="AG21" s="65"/>
    </row>
    <row r="22" spans="1:33" x14ac:dyDescent="0.25">
      <c r="A22" s="68">
        <v>22</v>
      </c>
      <c r="B22" s="71">
        <v>44319</v>
      </c>
      <c r="C22" s="65"/>
      <c r="D22" s="59"/>
      <c r="E22" s="65"/>
      <c r="F22" s="65">
        <v>2202103838</v>
      </c>
      <c r="G22" s="59"/>
      <c r="H22" s="65"/>
      <c r="I22" s="65" t="s">
        <v>366</v>
      </c>
      <c r="J22" s="27"/>
      <c r="K22" s="65" t="s">
        <v>367</v>
      </c>
      <c r="L22" s="65" t="s">
        <v>16</v>
      </c>
      <c r="M22" s="27" t="s">
        <v>400</v>
      </c>
      <c r="N22" s="65" t="s">
        <v>83</v>
      </c>
      <c r="O22" s="65" t="s">
        <v>147</v>
      </c>
      <c r="P22" s="66"/>
      <c r="Q22" s="65">
        <v>105.56</v>
      </c>
      <c r="R22" s="65"/>
      <c r="S22" s="69" t="s">
        <v>276</v>
      </c>
      <c r="T22" s="70"/>
      <c r="U22" s="70"/>
      <c r="V22" s="49"/>
      <c r="W22" s="70"/>
      <c r="X22" s="70"/>
      <c r="Y22" s="49"/>
      <c r="Z22" s="70"/>
      <c r="AA22" s="70"/>
      <c r="AB22" s="86"/>
      <c r="AC22" s="71">
        <v>44344</v>
      </c>
      <c r="AD22" s="65"/>
      <c r="AE22" s="27"/>
      <c r="AF22" s="65"/>
      <c r="AG22" s="65"/>
    </row>
    <row r="23" spans="1:33" x14ac:dyDescent="0.25">
      <c r="A23" s="68">
        <v>23</v>
      </c>
      <c r="B23" s="71">
        <v>44319</v>
      </c>
      <c r="C23" s="65"/>
      <c r="D23" s="59"/>
      <c r="E23" s="65"/>
      <c r="F23" s="65">
        <v>1202003349</v>
      </c>
      <c r="G23" s="59"/>
      <c r="H23" s="65"/>
      <c r="I23" s="65" t="s">
        <v>368</v>
      </c>
      <c r="J23" s="27"/>
      <c r="K23" s="65" t="s">
        <v>369</v>
      </c>
      <c r="L23" s="65" t="s">
        <v>21</v>
      </c>
      <c r="M23" s="27" t="s">
        <v>400</v>
      </c>
      <c r="N23" s="65"/>
      <c r="O23" s="65" t="s">
        <v>139</v>
      </c>
      <c r="P23" s="66"/>
      <c r="Q23" s="65">
        <v>15</v>
      </c>
      <c r="R23" s="65"/>
      <c r="S23" s="69" t="s">
        <v>276</v>
      </c>
      <c r="T23" s="70"/>
      <c r="U23" s="70"/>
      <c r="V23" s="49"/>
      <c r="W23" s="70"/>
      <c r="X23" s="70"/>
      <c r="Y23" s="49"/>
      <c r="Z23" s="70"/>
      <c r="AA23" s="70"/>
      <c r="AB23" s="86"/>
      <c r="AC23" s="71">
        <v>44344</v>
      </c>
      <c r="AD23" s="65"/>
      <c r="AE23" s="27"/>
      <c r="AF23" s="65"/>
      <c r="AG23" s="65"/>
    </row>
    <row r="24" spans="1:33" x14ac:dyDescent="0.25">
      <c r="A24" s="68">
        <v>24</v>
      </c>
      <c r="B24" s="71">
        <v>44321</v>
      </c>
      <c r="C24" s="65"/>
      <c r="D24" s="59"/>
      <c r="E24" s="65"/>
      <c r="F24" s="65">
        <v>2202104084</v>
      </c>
      <c r="G24" s="59"/>
      <c r="H24" s="65"/>
      <c r="I24" s="65" t="s">
        <v>370</v>
      </c>
      <c r="J24" s="27"/>
      <c r="K24" s="65" t="s">
        <v>371</v>
      </c>
      <c r="L24" s="65" t="s">
        <v>25</v>
      </c>
      <c r="M24" s="27" t="s">
        <v>400</v>
      </c>
      <c r="N24" s="65" t="s">
        <v>83</v>
      </c>
      <c r="O24" s="65" t="s">
        <v>135</v>
      </c>
      <c r="P24" s="66"/>
      <c r="Q24" s="65">
        <v>31.3</v>
      </c>
      <c r="R24" s="65"/>
      <c r="S24" s="69" t="s">
        <v>276</v>
      </c>
      <c r="T24" s="70"/>
      <c r="U24" s="70"/>
      <c r="V24" s="49"/>
      <c r="W24" s="70"/>
      <c r="X24" s="70"/>
      <c r="Y24" s="49"/>
      <c r="Z24" s="70"/>
      <c r="AA24" s="70"/>
      <c r="AB24" s="86"/>
      <c r="AC24" s="71">
        <v>44344</v>
      </c>
      <c r="AD24" s="65"/>
      <c r="AE24" s="27"/>
      <c r="AF24" s="65"/>
      <c r="AG24" s="65"/>
    </row>
    <row r="25" spans="1:33" x14ac:dyDescent="0.25">
      <c r="A25" s="68">
        <v>25</v>
      </c>
      <c r="B25" s="71">
        <v>44321</v>
      </c>
      <c r="C25" s="65"/>
      <c r="D25" s="59"/>
      <c r="E25" s="65"/>
      <c r="F25" s="65">
        <v>2202104105</v>
      </c>
      <c r="G25" s="59"/>
      <c r="H25" s="65"/>
      <c r="I25" s="65" t="s">
        <v>372</v>
      </c>
      <c r="J25" s="27"/>
      <c r="K25" s="65" t="s">
        <v>373</v>
      </c>
      <c r="L25" s="65" t="s">
        <v>25</v>
      </c>
      <c r="M25" s="27" t="s">
        <v>400</v>
      </c>
      <c r="N25" s="65" t="s">
        <v>83</v>
      </c>
      <c r="O25" s="65" t="s">
        <v>135</v>
      </c>
      <c r="P25" s="66"/>
      <c r="Q25" s="65">
        <v>107</v>
      </c>
      <c r="R25" s="65"/>
      <c r="S25" s="69" t="s">
        <v>276</v>
      </c>
      <c r="T25" s="70"/>
      <c r="U25" s="70"/>
      <c r="V25" s="49"/>
      <c r="W25" s="70"/>
      <c r="X25" s="70"/>
      <c r="Y25" s="49"/>
      <c r="Z25" s="70"/>
      <c r="AA25" s="70"/>
      <c r="AB25" s="86"/>
      <c r="AC25" s="71">
        <v>44344</v>
      </c>
      <c r="AD25" s="65"/>
      <c r="AE25" s="27"/>
      <c r="AF25" s="65"/>
      <c r="AG25" s="65"/>
    </row>
    <row r="26" spans="1:33" x14ac:dyDescent="0.25">
      <c r="A26" s="68">
        <v>26</v>
      </c>
      <c r="B26" s="71">
        <v>44321</v>
      </c>
      <c r="C26" s="65"/>
      <c r="D26" s="59"/>
      <c r="E26" s="65"/>
      <c r="F26" s="65">
        <v>2202104089</v>
      </c>
      <c r="G26" s="59"/>
      <c r="H26" s="65"/>
      <c r="I26" s="65" t="s">
        <v>374</v>
      </c>
      <c r="J26" s="27"/>
      <c r="K26" s="65" t="s">
        <v>371</v>
      </c>
      <c r="L26" s="65" t="s">
        <v>25</v>
      </c>
      <c r="M26" s="27" t="s">
        <v>400</v>
      </c>
      <c r="N26" s="65" t="s">
        <v>83</v>
      </c>
      <c r="O26" s="65" t="s">
        <v>135</v>
      </c>
      <c r="P26" s="66"/>
      <c r="Q26" s="65">
        <v>24.2</v>
      </c>
      <c r="R26" s="65"/>
      <c r="S26" s="69" t="s">
        <v>276</v>
      </c>
      <c r="T26" s="70"/>
      <c r="U26" s="70"/>
      <c r="V26" s="49"/>
      <c r="W26" s="70"/>
      <c r="X26" s="70"/>
      <c r="Y26" s="49"/>
      <c r="Z26" s="70"/>
      <c r="AA26" s="70"/>
      <c r="AB26" s="86"/>
      <c r="AC26" s="71">
        <v>44344</v>
      </c>
      <c r="AD26" s="65"/>
      <c r="AE26" s="27"/>
      <c r="AF26" s="65"/>
      <c r="AG26" s="65"/>
    </row>
    <row r="27" spans="1:33" x14ac:dyDescent="0.25">
      <c r="A27" s="68">
        <v>27</v>
      </c>
      <c r="B27" s="71">
        <v>44321</v>
      </c>
      <c r="C27" s="65"/>
      <c r="D27" s="59"/>
      <c r="E27" s="65"/>
      <c r="F27" s="65">
        <v>2202104030</v>
      </c>
      <c r="G27" s="59"/>
      <c r="H27" s="65"/>
      <c r="I27" s="65" t="s">
        <v>375</v>
      </c>
      <c r="J27" s="27"/>
      <c r="K27" s="65" t="s">
        <v>376</v>
      </c>
      <c r="L27" s="65" t="s">
        <v>9</v>
      </c>
      <c r="M27" s="27" t="s">
        <v>400</v>
      </c>
      <c r="N27" s="65" t="s">
        <v>83</v>
      </c>
      <c r="O27" s="65" t="s">
        <v>377</v>
      </c>
      <c r="P27" s="66"/>
      <c r="Q27" s="65">
        <v>110.2</v>
      </c>
      <c r="R27" s="65"/>
      <c r="S27" s="69" t="s">
        <v>276</v>
      </c>
      <c r="T27" s="70"/>
      <c r="U27" s="70"/>
      <c r="V27" s="49"/>
      <c r="W27" s="70"/>
      <c r="X27" s="70"/>
      <c r="Y27" s="49"/>
      <c r="Z27" s="70"/>
      <c r="AA27" s="70"/>
      <c r="AB27" s="86"/>
      <c r="AC27" s="71">
        <v>44344</v>
      </c>
      <c r="AD27" s="65"/>
      <c r="AE27" s="27"/>
      <c r="AF27" s="65"/>
      <c r="AG27" s="65"/>
    </row>
    <row r="28" spans="1:33" x14ac:dyDescent="0.25">
      <c r="A28" s="68">
        <v>28</v>
      </c>
      <c r="B28" s="71">
        <v>44321</v>
      </c>
      <c r="C28" s="65"/>
      <c r="D28" s="59"/>
      <c r="E28" s="65"/>
      <c r="F28" s="65">
        <v>2202104027</v>
      </c>
      <c r="G28" s="59"/>
      <c r="H28" s="65"/>
      <c r="I28" s="65" t="s">
        <v>378</v>
      </c>
      <c r="J28" s="27"/>
      <c r="K28" s="65" t="s">
        <v>379</v>
      </c>
      <c r="L28" s="65" t="s">
        <v>9</v>
      </c>
      <c r="M28" s="27" t="s">
        <v>400</v>
      </c>
      <c r="N28" s="65" t="s">
        <v>83</v>
      </c>
      <c r="O28" s="65" t="s">
        <v>377</v>
      </c>
      <c r="P28" s="66"/>
      <c r="Q28" s="65">
        <v>159</v>
      </c>
      <c r="R28" s="65"/>
      <c r="S28" s="69" t="s">
        <v>276</v>
      </c>
      <c r="T28" s="70"/>
      <c r="U28" s="70"/>
      <c r="V28" s="49"/>
      <c r="W28" s="70"/>
      <c r="X28" s="70"/>
      <c r="Y28" s="49"/>
      <c r="Z28" s="70"/>
      <c r="AA28" s="70"/>
      <c r="AB28" s="86"/>
      <c r="AC28" s="71">
        <v>44344</v>
      </c>
      <c r="AD28" s="65"/>
      <c r="AE28" s="27"/>
      <c r="AF28" s="65"/>
      <c r="AG28" s="65"/>
    </row>
    <row r="29" spans="1:33" x14ac:dyDescent="0.25">
      <c r="A29" s="68">
        <v>29</v>
      </c>
      <c r="B29" s="71">
        <v>44321</v>
      </c>
      <c r="C29" s="65"/>
      <c r="D29" s="59"/>
      <c r="E29" s="65"/>
      <c r="F29" s="65">
        <v>2202104042</v>
      </c>
      <c r="G29" s="59"/>
      <c r="H29" s="65"/>
      <c r="I29" s="65" t="s">
        <v>380</v>
      </c>
      <c r="J29" s="27"/>
      <c r="K29" s="65" t="s">
        <v>381</v>
      </c>
      <c r="L29" s="65" t="s">
        <v>9</v>
      </c>
      <c r="M29" s="27" t="s">
        <v>400</v>
      </c>
      <c r="N29" s="65" t="s">
        <v>83</v>
      </c>
      <c r="O29" s="65" t="s">
        <v>377</v>
      </c>
      <c r="P29" s="66"/>
      <c r="Q29" s="65">
        <v>200</v>
      </c>
      <c r="R29" s="65"/>
      <c r="S29" s="69" t="s">
        <v>276</v>
      </c>
      <c r="T29" s="70"/>
      <c r="U29" s="70"/>
      <c r="V29" s="49"/>
      <c r="W29" s="70"/>
      <c r="X29" s="70"/>
      <c r="Y29" s="49"/>
      <c r="Z29" s="70"/>
      <c r="AA29" s="70"/>
      <c r="AB29" s="86"/>
      <c r="AC29" s="71">
        <v>44344</v>
      </c>
      <c r="AD29" s="65"/>
      <c r="AE29" s="27"/>
      <c r="AF29" s="65"/>
      <c r="AG29" s="65"/>
    </row>
    <row r="30" spans="1:33" x14ac:dyDescent="0.25">
      <c r="A30" s="68">
        <v>30</v>
      </c>
      <c r="B30" s="71">
        <v>44321</v>
      </c>
      <c r="C30" s="65"/>
      <c r="D30" s="59"/>
      <c r="E30" s="65"/>
      <c r="F30" s="65">
        <v>2202104036</v>
      </c>
      <c r="G30" s="59"/>
      <c r="H30" s="65"/>
      <c r="I30" s="65" t="s">
        <v>382</v>
      </c>
      <c r="J30" s="27"/>
      <c r="K30" s="65" t="s">
        <v>376</v>
      </c>
      <c r="L30" s="65" t="s">
        <v>9</v>
      </c>
      <c r="M30" s="27" t="s">
        <v>400</v>
      </c>
      <c r="N30" s="65" t="s">
        <v>83</v>
      </c>
      <c r="O30" s="65" t="s">
        <v>377</v>
      </c>
      <c r="P30" s="66"/>
      <c r="Q30" s="65">
        <v>80</v>
      </c>
      <c r="R30" s="65"/>
      <c r="S30" s="69" t="s">
        <v>276</v>
      </c>
      <c r="T30" s="70"/>
      <c r="U30" s="70"/>
      <c r="V30" s="49"/>
      <c r="W30" s="70"/>
      <c r="X30" s="70"/>
      <c r="Y30" s="49"/>
      <c r="Z30" s="70"/>
      <c r="AA30" s="70"/>
      <c r="AB30" s="86"/>
      <c r="AC30" s="71">
        <v>44344</v>
      </c>
      <c r="AD30" s="65"/>
      <c r="AE30" s="27"/>
      <c r="AF30" s="65"/>
      <c r="AG30" s="65"/>
    </row>
    <row r="31" spans="1:33" x14ac:dyDescent="0.25">
      <c r="A31" s="68">
        <v>31</v>
      </c>
      <c r="B31" s="71">
        <v>44321</v>
      </c>
      <c r="C31" s="65"/>
      <c r="D31" s="59"/>
      <c r="E31" s="65"/>
      <c r="F31" s="65">
        <v>2202104093</v>
      </c>
      <c r="G31" s="59"/>
      <c r="H31" s="65"/>
      <c r="I31" s="65" t="s">
        <v>383</v>
      </c>
      <c r="J31" s="27"/>
      <c r="K31" s="65" t="s">
        <v>384</v>
      </c>
      <c r="L31" s="65" t="s">
        <v>9</v>
      </c>
      <c r="M31" s="27" t="s">
        <v>400</v>
      </c>
      <c r="N31" s="65" t="s">
        <v>83</v>
      </c>
      <c r="O31" s="65" t="s">
        <v>143</v>
      </c>
      <c r="P31" s="66"/>
      <c r="Q31" s="65">
        <v>43</v>
      </c>
      <c r="R31" s="65"/>
      <c r="S31" s="69" t="s">
        <v>276</v>
      </c>
      <c r="T31" s="70"/>
      <c r="U31" s="70"/>
      <c r="V31" s="49"/>
      <c r="W31" s="70"/>
      <c r="X31" s="70"/>
      <c r="Y31" s="49"/>
      <c r="Z31" s="70"/>
      <c r="AA31" s="70"/>
      <c r="AB31" s="86"/>
      <c r="AC31" s="71">
        <v>44344</v>
      </c>
      <c r="AD31" s="65"/>
      <c r="AE31" s="27"/>
      <c r="AF31" s="65"/>
      <c r="AG31" s="65"/>
    </row>
    <row r="32" spans="1:33" x14ac:dyDescent="0.25">
      <c r="A32" s="68">
        <v>32</v>
      </c>
      <c r="B32" s="71">
        <v>44322</v>
      </c>
      <c r="C32" s="65"/>
      <c r="D32" s="59"/>
      <c r="E32" s="65"/>
      <c r="F32" s="65">
        <v>2202104124</v>
      </c>
      <c r="G32" s="59"/>
      <c r="H32" s="65"/>
      <c r="I32" s="65" t="s">
        <v>385</v>
      </c>
      <c r="J32" s="27"/>
      <c r="K32" s="65" t="s">
        <v>386</v>
      </c>
      <c r="L32" s="65" t="s">
        <v>25</v>
      </c>
      <c r="M32" s="27" t="s">
        <v>400</v>
      </c>
      <c r="N32" s="65" t="s">
        <v>83</v>
      </c>
      <c r="O32" s="65" t="s">
        <v>135</v>
      </c>
      <c r="P32" s="66"/>
      <c r="Q32" s="65">
        <v>12.1</v>
      </c>
      <c r="R32" s="65"/>
      <c r="S32" s="69" t="s">
        <v>276</v>
      </c>
      <c r="T32" s="70"/>
      <c r="U32" s="70"/>
      <c r="V32" s="49"/>
      <c r="W32" s="70"/>
      <c r="X32" s="70"/>
      <c r="Y32" s="49"/>
      <c r="Z32" s="70"/>
      <c r="AA32" s="70"/>
      <c r="AB32" s="86"/>
      <c r="AC32" s="71">
        <v>44344</v>
      </c>
      <c r="AD32" s="65"/>
      <c r="AE32" s="27"/>
      <c r="AF32" s="65"/>
      <c r="AG32" s="65"/>
    </row>
    <row r="33" spans="1:33" x14ac:dyDescent="0.25">
      <c r="A33" s="68">
        <v>33</v>
      </c>
      <c r="B33" s="71">
        <v>44322</v>
      </c>
      <c r="C33" s="65"/>
      <c r="D33" s="59"/>
      <c r="E33" s="65"/>
      <c r="F33" s="65">
        <v>2202104154</v>
      </c>
      <c r="G33" s="59"/>
      <c r="H33" s="65"/>
      <c r="I33" s="65" t="s">
        <v>387</v>
      </c>
      <c r="J33" s="27"/>
      <c r="K33" s="65" t="s">
        <v>386</v>
      </c>
      <c r="L33" s="65" t="s">
        <v>25</v>
      </c>
      <c r="M33" s="27" t="s">
        <v>400</v>
      </c>
      <c r="N33" s="65" t="s">
        <v>83</v>
      </c>
      <c r="O33" s="65" t="s">
        <v>135</v>
      </c>
      <c r="P33" s="66"/>
      <c r="Q33" s="65">
        <v>29.04</v>
      </c>
      <c r="R33" s="65"/>
      <c r="S33" s="69" t="s">
        <v>276</v>
      </c>
      <c r="T33" s="70"/>
      <c r="U33" s="70"/>
      <c r="V33" s="49"/>
      <c r="W33" s="70"/>
      <c r="X33" s="70"/>
      <c r="Y33" s="49"/>
      <c r="Z33" s="70"/>
      <c r="AA33" s="70"/>
      <c r="AB33" s="86"/>
      <c r="AC33" s="71">
        <v>44344</v>
      </c>
      <c r="AD33" s="65"/>
      <c r="AE33" s="27"/>
      <c r="AF33" s="65"/>
      <c r="AG33" s="65"/>
    </row>
    <row r="34" spans="1:33" x14ac:dyDescent="0.25">
      <c r="A34" s="68">
        <v>34</v>
      </c>
      <c r="B34" s="71">
        <v>44322</v>
      </c>
      <c r="C34" s="65"/>
      <c r="D34" s="59"/>
      <c r="E34" s="65"/>
      <c r="F34" s="65">
        <v>2202104156</v>
      </c>
      <c r="G34" s="59"/>
      <c r="H34" s="65"/>
      <c r="I34" s="65" t="s">
        <v>387</v>
      </c>
      <c r="J34" s="27"/>
      <c r="K34" s="65" t="s">
        <v>388</v>
      </c>
      <c r="L34" s="65" t="s">
        <v>25</v>
      </c>
      <c r="M34" s="27" t="s">
        <v>400</v>
      </c>
      <c r="N34" s="65" t="s">
        <v>83</v>
      </c>
      <c r="O34" s="65" t="s">
        <v>135</v>
      </c>
      <c r="P34" s="66"/>
      <c r="Q34" s="65">
        <v>20.57</v>
      </c>
      <c r="R34" s="65"/>
      <c r="S34" s="69" t="s">
        <v>276</v>
      </c>
      <c r="T34" s="70"/>
      <c r="U34" s="70"/>
      <c r="V34" s="49"/>
      <c r="W34" s="70"/>
      <c r="X34" s="70"/>
      <c r="Y34" s="49"/>
      <c r="Z34" s="70"/>
      <c r="AA34" s="70"/>
      <c r="AB34" s="86"/>
      <c r="AC34" s="71">
        <v>44344</v>
      </c>
      <c r="AD34" s="65"/>
      <c r="AE34" s="27"/>
      <c r="AF34" s="65"/>
      <c r="AG34" s="65"/>
    </row>
    <row r="35" spans="1:33" x14ac:dyDescent="0.25">
      <c r="A35" s="68">
        <v>35</v>
      </c>
      <c r="B35" s="71">
        <v>44322</v>
      </c>
      <c r="C35" s="65"/>
      <c r="D35" s="59"/>
      <c r="E35" s="65"/>
      <c r="F35" s="65">
        <v>2202104123</v>
      </c>
      <c r="G35" s="59"/>
      <c r="H35" s="65"/>
      <c r="I35" s="65" t="s">
        <v>385</v>
      </c>
      <c r="J35" s="27"/>
      <c r="K35" s="65" t="s">
        <v>386</v>
      </c>
      <c r="L35" s="65" t="s">
        <v>25</v>
      </c>
      <c r="M35" s="27" t="s">
        <v>400</v>
      </c>
      <c r="N35" s="65" t="s">
        <v>83</v>
      </c>
      <c r="O35" s="65" t="s">
        <v>135</v>
      </c>
      <c r="P35" s="66"/>
      <c r="Q35" s="65">
        <v>19.36</v>
      </c>
      <c r="R35" s="65"/>
      <c r="S35" s="69" t="s">
        <v>276</v>
      </c>
      <c r="T35" s="70"/>
      <c r="U35" s="70"/>
      <c r="V35" s="49"/>
      <c r="W35" s="70"/>
      <c r="X35" s="70"/>
      <c r="Y35" s="49"/>
      <c r="Z35" s="70"/>
      <c r="AA35" s="70"/>
      <c r="AB35" s="86"/>
      <c r="AC35" s="71">
        <v>44344</v>
      </c>
      <c r="AD35" s="65"/>
      <c r="AE35" s="27"/>
      <c r="AF35" s="65"/>
      <c r="AG35" s="65"/>
    </row>
    <row r="36" spans="1:33" x14ac:dyDescent="0.25">
      <c r="A36" s="68">
        <v>36</v>
      </c>
      <c r="B36" s="71">
        <v>44327</v>
      </c>
      <c r="C36" s="65"/>
      <c r="D36" s="59"/>
      <c r="E36" s="65"/>
      <c r="F36" s="65">
        <v>2202104319</v>
      </c>
      <c r="G36" s="59"/>
      <c r="H36" s="65"/>
      <c r="I36" s="65" t="s">
        <v>389</v>
      </c>
      <c r="J36" s="27"/>
      <c r="K36" s="65" t="s">
        <v>390</v>
      </c>
      <c r="L36" s="65" t="s">
        <v>25</v>
      </c>
      <c r="M36" s="27" t="s">
        <v>400</v>
      </c>
      <c r="N36" s="65" t="s">
        <v>83</v>
      </c>
      <c r="O36" s="65" t="s">
        <v>135</v>
      </c>
      <c r="P36" s="66"/>
      <c r="Q36" s="65">
        <v>71.2</v>
      </c>
      <c r="R36" s="65"/>
      <c r="S36" s="69" t="s">
        <v>276</v>
      </c>
      <c r="T36" s="70"/>
      <c r="U36" s="70"/>
      <c r="V36" s="49"/>
      <c r="W36" s="70"/>
      <c r="X36" s="70"/>
      <c r="Y36" s="49"/>
      <c r="Z36" s="70"/>
      <c r="AA36" s="70"/>
      <c r="AB36" s="86"/>
      <c r="AC36" s="71">
        <v>44344</v>
      </c>
      <c r="AD36" s="65"/>
      <c r="AE36" s="27"/>
      <c r="AF36" s="65"/>
      <c r="AG36" s="65"/>
    </row>
    <row r="37" spans="1:33" x14ac:dyDescent="0.25">
      <c r="A37" s="68">
        <v>37</v>
      </c>
      <c r="B37" s="71">
        <v>44327</v>
      </c>
      <c r="C37" s="65"/>
      <c r="D37" s="59"/>
      <c r="E37" s="65"/>
      <c r="F37" s="65">
        <v>2202104313</v>
      </c>
      <c r="G37" s="59"/>
      <c r="H37" s="65"/>
      <c r="I37" s="65" t="s">
        <v>391</v>
      </c>
      <c r="J37" s="27"/>
      <c r="K37" s="65" t="s">
        <v>390</v>
      </c>
      <c r="L37" s="65" t="s">
        <v>25</v>
      </c>
      <c r="M37" s="27" t="s">
        <v>400</v>
      </c>
      <c r="N37" s="65" t="s">
        <v>83</v>
      </c>
      <c r="O37" s="65" t="s">
        <v>135</v>
      </c>
      <c r="P37" s="66"/>
      <c r="Q37" s="65">
        <v>43.3</v>
      </c>
      <c r="R37" s="65"/>
      <c r="S37" s="69" t="s">
        <v>276</v>
      </c>
      <c r="T37" s="70"/>
      <c r="U37" s="70"/>
      <c r="V37" s="49"/>
      <c r="W37" s="70"/>
      <c r="X37" s="70"/>
      <c r="Y37" s="49"/>
      <c r="Z37" s="70"/>
      <c r="AA37" s="70"/>
      <c r="AB37" s="86"/>
      <c r="AC37" s="71">
        <v>44344</v>
      </c>
      <c r="AD37" s="65"/>
      <c r="AE37" s="27"/>
      <c r="AF37" s="65"/>
      <c r="AG37" s="65"/>
    </row>
    <row r="38" spans="1:33" x14ac:dyDescent="0.25">
      <c r="A38" s="68">
        <v>38</v>
      </c>
      <c r="B38" s="71">
        <v>44327</v>
      </c>
      <c r="C38" s="65"/>
      <c r="D38" s="59"/>
      <c r="E38" s="65"/>
      <c r="F38" s="65">
        <v>2202104318</v>
      </c>
      <c r="G38" s="59"/>
      <c r="H38" s="65"/>
      <c r="I38" s="65" t="s">
        <v>389</v>
      </c>
      <c r="J38" s="27"/>
      <c r="K38" s="65" t="s">
        <v>390</v>
      </c>
      <c r="L38" s="65" t="s">
        <v>25</v>
      </c>
      <c r="M38" s="27" t="s">
        <v>400</v>
      </c>
      <c r="N38" s="65" t="s">
        <v>83</v>
      </c>
      <c r="O38" s="65" t="s">
        <v>146</v>
      </c>
      <c r="P38" s="66"/>
      <c r="Q38" s="65">
        <v>108.09</v>
      </c>
      <c r="R38" s="65"/>
      <c r="S38" s="69" t="s">
        <v>276</v>
      </c>
      <c r="T38" s="70"/>
      <c r="U38" s="70"/>
      <c r="V38" s="49"/>
      <c r="W38" s="70"/>
      <c r="X38" s="70"/>
      <c r="Y38" s="49"/>
      <c r="Z38" s="70"/>
      <c r="AA38" s="70"/>
      <c r="AB38" s="86"/>
      <c r="AC38" s="71">
        <v>44344</v>
      </c>
      <c r="AD38" s="65"/>
      <c r="AE38" s="27"/>
      <c r="AF38" s="65"/>
      <c r="AG38" s="65"/>
    </row>
    <row r="39" spans="1:33" x14ac:dyDescent="0.25">
      <c r="A39" s="68">
        <v>39</v>
      </c>
      <c r="B39" s="71">
        <v>44327</v>
      </c>
      <c r="C39" s="65"/>
      <c r="D39" s="59"/>
      <c r="E39" s="65"/>
      <c r="F39" s="65">
        <v>2202104311</v>
      </c>
      <c r="G39" s="59"/>
      <c r="H39" s="65"/>
      <c r="I39" s="65" t="s">
        <v>392</v>
      </c>
      <c r="J39" s="27"/>
      <c r="K39" s="65" t="s">
        <v>390</v>
      </c>
      <c r="L39" s="65" t="s">
        <v>25</v>
      </c>
      <c r="M39" s="27" t="s">
        <v>400</v>
      </c>
      <c r="N39" s="65" t="s">
        <v>83</v>
      </c>
      <c r="O39" s="65" t="s">
        <v>146</v>
      </c>
      <c r="P39" s="66"/>
      <c r="Q39" s="65">
        <v>48.4</v>
      </c>
      <c r="R39" s="65"/>
      <c r="S39" s="69" t="s">
        <v>276</v>
      </c>
      <c r="T39" s="70"/>
      <c r="U39" s="70"/>
      <c r="V39" s="49"/>
      <c r="W39" s="70"/>
      <c r="X39" s="70"/>
      <c r="Y39" s="49"/>
      <c r="Z39" s="70"/>
      <c r="AA39" s="70"/>
      <c r="AB39" s="86"/>
      <c r="AC39" s="71">
        <v>44344</v>
      </c>
      <c r="AD39" s="65"/>
      <c r="AE39" s="27"/>
      <c r="AF39" s="65"/>
      <c r="AG39" s="65"/>
    </row>
    <row r="40" spans="1:33" x14ac:dyDescent="0.25">
      <c r="A40" s="68">
        <v>40</v>
      </c>
      <c r="B40" s="71">
        <v>44327</v>
      </c>
      <c r="C40" s="65"/>
      <c r="D40" s="59"/>
      <c r="E40" s="65"/>
      <c r="F40" s="65">
        <v>2202104454</v>
      </c>
      <c r="G40" s="59"/>
      <c r="H40" s="65"/>
      <c r="I40" s="65" t="s">
        <v>393</v>
      </c>
      <c r="J40" s="27"/>
      <c r="K40" s="65" t="s">
        <v>379</v>
      </c>
      <c r="L40" s="65" t="s">
        <v>9</v>
      </c>
      <c r="M40" s="27" t="s">
        <v>400</v>
      </c>
      <c r="N40" s="65" t="s">
        <v>83</v>
      </c>
      <c r="O40" s="65" t="s">
        <v>362</v>
      </c>
      <c r="P40" s="66"/>
      <c r="Q40" s="65">
        <v>96.8</v>
      </c>
      <c r="R40" s="65"/>
      <c r="S40" s="69" t="s">
        <v>276</v>
      </c>
      <c r="T40" s="70"/>
      <c r="U40" s="70"/>
      <c r="V40" s="49"/>
      <c r="W40" s="70"/>
      <c r="X40" s="70"/>
      <c r="Y40" s="49"/>
      <c r="Z40" s="70"/>
      <c r="AA40" s="70"/>
      <c r="AB40" s="86"/>
      <c r="AC40" s="71">
        <v>44344</v>
      </c>
      <c r="AD40" s="65"/>
      <c r="AE40" s="27"/>
      <c r="AF40" s="65"/>
      <c r="AG40" s="65"/>
    </row>
    <row r="41" spans="1:33" x14ac:dyDescent="0.25">
      <c r="A41" s="68">
        <v>41</v>
      </c>
      <c r="B41" s="71">
        <v>44327</v>
      </c>
      <c r="C41" s="65"/>
      <c r="D41" s="59"/>
      <c r="E41" s="65"/>
      <c r="F41" s="65">
        <v>2202104408</v>
      </c>
      <c r="G41" s="59"/>
      <c r="H41" s="65"/>
      <c r="I41" s="65" t="s">
        <v>394</v>
      </c>
      <c r="J41" s="27"/>
      <c r="K41" s="65" t="s">
        <v>395</v>
      </c>
      <c r="L41" s="65" t="s">
        <v>9</v>
      </c>
      <c r="M41" s="27" t="s">
        <v>400</v>
      </c>
      <c r="N41" s="65" t="s">
        <v>83</v>
      </c>
      <c r="O41" s="65" t="s">
        <v>362</v>
      </c>
      <c r="P41" s="66"/>
      <c r="Q41" s="65">
        <v>29.9</v>
      </c>
      <c r="R41" s="65"/>
      <c r="S41" s="69" t="s">
        <v>276</v>
      </c>
      <c r="T41" s="70"/>
      <c r="U41" s="70"/>
      <c r="V41" s="49"/>
      <c r="W41" s="70"/>
      <c r="X41" s="70"/>
      <c r="Y41" s="49"/>
      <c r="Z41" s="70"/>
      <c r="AA41" s="70"/>
      <c r="AB41" s="86"/>
      <c r="AC41" s="71">
        <v>44344</v>
      </c>
      <c r="AD41" s="65"/>
      <c r="AE41" s="27"/>
      <c r="AF41" s="65"/>
      <c r="AG41" s="65"/>
    </row>
    <row r="42" spans="1:33" x14ac:dyDescent="0.25">
      <c r="A42" s="68">
        <v>42</v>
      </c>
      <c r="B42" s="71">
        <v>44327</v>
      </c>
      <c r="C42" s="65"/>
      <c r="D42" s="59"/>
      <c r="E42" s="65"/>
      <c r="F42" s="65">
        <v>2202104409</v>
      </c>
      <c r="G42" s="59"/>
      <c r="H42" s="65"/>
      <c r="I42" s="65" t="s">
        <v>396</v>
      </c>
      <c r="J42" s="27"/>
      <c r="K42" s="65" t="s">
        <v>395</v>
      </c>
      <c r="L42" s="65" t="s">
        <v>9</v>
      </c>
      <c r="M42" s="27" t="s">
        <v>400</v>
      </c>
      <c r="N42" s="65" t="s">
        <v>83</v>
      </c>
      <c r="O42" s="65" t="s">
        <v>362</v>
      </c>
      <c r="P42" s="66"/>
      <c r="Q42" s="65">
        <v>156.1</v>
      </c>
      <c r="R42" s="65"/>
      <c r="S42" s="69" t="s">
        <v>276</v>
      </c>
      <c r="T42" s="70"/>
      <c r="U42" s="70"/>
      <c r="V42" s="49"/>
      <c r="W42" s="70"/>
      <c r="X42" s="70"/>
      <c r="Y42" s="49"/>
      <c r="Z42" s="70"/>
      <c r="AA42" s="70"/>
      <c r="AB42" s="86"/>
      <c r="AC42" s="71">
        <v>44344</v>
      </c>
      <c r="AD42" s="65"/>
      <c r="AE42" s="27"/>
      <c r="AF42" s="65"/>
      <c r="AG42" s="65"/>
    </row>
    <row r="43" spans="1:33" x14ac:dyDescent="0.25">
      <c r="A43" s="68">
        <v>43</v>
      </c>
      <c r="B43" s="71">
        <v>44327</v>
      </c>
      <c r="C43" s="65"/>
      <c r="D43" s="59"/>
      <c r="E43" s="65"/>
      <c r="F43" s="65">
        <v>2202104444</v>
      </c>
      <c r="G43" s="59"/>
      <c r="H43" s="65"/>
      <c r="I43" s="65" t="s">
        <v>397</v>
      </c>
      <c r="J43" s="27"/>
      <c r="K43" s="65" t="s">
        <v>356</v>
      </c>
      <c r="L43" s="65" t="s">
        <v>9</v>
      </c>
      <c r="M43" s="27" t="s">
        <v>400</v>
      </c>
      <c r="N43" s="65" t="s">
        <v>83</v>
      </c>
      <c r="O43" s="65" t="s">
        <v>377</v>
      </c>
      <c r="P43" s="66"/>
      <c r="Q43" s="65">
        <v>48.5</v>
      </c>
      <c r="R43" s="65"/>
      <c r="S43" s="69" t="s">
        <v>276</v>
      </c>
      <c r="T43" s="70"/>
      <c r="U43" s="70"/>
      <c r="V43" s="49"/>
      <c r="W43" s="70"/>
      <c r="X43" s="70"/>
      <c r="Y43" s="49"/>
      <c r="Z43" s="70"/>
      <c r="AA43" s="70"/>
      <c r="AB43" s="86"/>
      <c r="AC43" s="71">
        <v>44344</v>
      </c>
      <c r="AD43" s="65"/>
      <c r="AE43" s="27"/>
      <c r="AF43" s="65"/>
      <c r="AG43" s="65"/>
    </row>
    <row r="44" spans="1:33" x14ac:dyDescent="0.25">
      <c r="A44" s="68">
        <v>44</v>
      </c>
      <c r="B44" s="71">
        <v>44327</v>
      </c>
      <c r="C44" s="65"/>
      <c r="D44" s="59"/>
      <c r="E44" s="65"/>
      <c r="F44" s="65">
        <v>2202104474</v>
      </c>
      <c r="G44" s="59"/>
      <c r="H44" s="65"/>
      <c r="I44" s="65" t="s">
        <v>398</v>
      </c>
      <c r="J44" s="27"/>
      <c r="K44" s="65" t="s">
        <v>399</v>
      </c>
      <c r="L44" s="65" t="s">
        <v>25</v>
      </c>
      <c r="M44" s="27" t="s">
        <v>400</v>
      </c>
      <c r="N44" s="65" t="s">
        <v>83</v>
      </c>
      <c r="O44" s="65" t="s">
        <v>146</v>
      </c>
      <c r="P44" s="66"/>
      <c r="Q44" s="65">
        <v>61</v>
      </c>
      <c r="R44" s="65"/>
      <c r="S44" s="69" t="s">
        <v>276</v>
      </c>
      <c r="T44" s="70"/>
      <c r="U44" s="70"/>
      <c r="V44" s="49"/>
      <c r="W44" s="70"/>
      <c r="X44" s="70"/>
      <c r="Y44" s="49"/>
      <c r="Z44" s="70"/>
      <c r="AA44" s="70"/>
      <c r="AB44" s="86"/>
      <c r="AC44" s="71">
        <v>44344</v>
      </c>
      <c r="AD44" s="65"/>
      <c r="AE44" s="27"/>
      <c r="AF44" s="65"/>
      <c r="AG44" s="65"/>
    </row>
    <row r="45" spans="1:33" x14ac:dyDescent="0.25">
      <c r="A45" s="68">
        <v>45</v>
      </c>
      <c r="B45" s="71">
        <v>44327</v>
      </c>
      <c r="C45" s="65"/>
      <c r="D45" s="59"/>
      <c r="E45" s="65"/>
      <c r="F45" s="65">
        <v>2202104399</v>
      </c>
      <c r="G45" s="59"/>
      <c r="H45" s="65"/>
      <c r="I45" s="65" t="s">
        <v>401</v>
      </c>
      <c r="J45" s="27"/>
      <c r="K45" s="65" t="s">
        <v>390</v>
      </c>
      <c r="L45" s="65" t="s">
        <v>25</v>
      </c>
      <c r="M45" s="27"/>
      <c r="N45" s="65" t="s">
        <v>83</v>
      </c>
      <c r="O45" s="65" t="s">
        <v>146</v>
      </c>
      <c r="P45" s="66"/>
      <c r="Q45" s="65">
        <v>77.67</v>
      </c>
      <c r="R45" s="65"/>
      <c r="S45" s="69" t="s">
        <v>276</v>
      </c>
      <c r="T45" s="70"/>
      <c r="U45" s="70"/>
      <c r="V45" s="49"/>
      <c r="W45" s="70"/>
      <c r="X45" s="70"/>
      <c r="Y45" s="49"/>
      <c r="Z45" s="70"/>
      <c r="AA45" s="70"/>
      <c r="AB45" s="86"/>
      <c r="AC45" s="71">
        <v>44344</v>
      </c>
      <c r="AD45" s="65"/>
      <c r="AE45" s="27"/>
      <c r="AF45" s="65"/>
      <c r="AG45" s="65"/>
    </row>
    <row r="46" spans="1:33" x14ac:dyDescent="0.25">
      <c r="A46" s="68">
        <v>46</v>
      </c>
      <c r="B46" s="71">
        <v>44328</v>
      </c>
      <c r="C46" s="65"/>
      <c r="D46" s="59"/>
      <c r="E46" s="65"/>
      <c r="F46" s="65">
        <v>2202104495</v>
      </c>
      <c r="G46" s="59"/>
      <c r="H46" s="65"/>
      <c r="I46" s="65" t="s">
        <v>402</v>
      </c>
      <c r="J46" s="27"/>
      <c r="K46" s="65" t="s">
        <v>356</v>
      </c>
      <c r="L46" s="65" t="s">
        <v>9</v>
      </c>
      <c r="M46" s="27"/>
      <c r="N46" s="65" t="s">
        <v>83</v>
      </c>
      <c r="O46" s="65" t="s">
        <v>377</v>
      </c>
      <c r="P46" s="66"/>
      <c r="Q46" s="65">
        <v>115</v>
      </c>
      <c r="R46" s="65"/>
      <c r="S46" s="69" t="s">
        <v>276</v>
      </c>
      <c r="T46" s="70"/>
      <c r="U46" s="70"/>
      <c r="V46" s="49"/>
      <c r="W46" s="70"/>
      <c r="X46" s="70"/>
      <c r="Y46" s="49"/>
      <c r="Z46" s="70"/>
      <c r="AA46" s="70"/>
      <c r="AB46" s="86"/>
      <c r="AC46" s="71">
        <v>44344</v>
      </c>
      <c r="AD46" s="65"/>
      <c r="AE46" s="27"/>
      <c r="AF46" s="65"/>
      <c r="AG46" s="65"/>
    </row>
    <row r="47" spans="1:33" x14ac:dyDescent="0.25">
      <c r="A47" s="68">
        <v>47</v>
      </c>
      <c r="B47" s="71">
        <v>44328</v>
      </c>
      <c r="C47" s="65"/>
      <c r="D47" s="59"/>
      <c r="E47" s="65"/>
      <c r="F47" s="65">
        <v>2202104577</v>
      </c>
      <c r="G47" s="59"/>
      <c r="H47" s="65"/>
      <c r="I47" s="65" t="s">
        <v>403</v>
      </c>
      <c r="J47" s="27"/>
      <c r="K47" s="65" t="s">
        <v>404</v>
      </c>
      <c r="L47" s="65" t="s">
        <v>25</v>
      </c>
      <c r="M47" s="27"/>
      <c r="N47" s="65" t="s">
        <v>83</v>
      </c>
      <c r="O47" s="65" t="s">
        <v>146</v>
      </c>
      <c r="P47" s="66"/>
      <c r="Q47" s="65">
        <v>13.31</v>
      </c>
      <c r="R47" s="65"/>
      <c r="S47" s="69" t="s">
        <v>276</v>
      </c>
      <c r="T47" s="70"/>
      <c r="U47" s="70"/>
      <c r="V47" s="49"/>
      <c r="W47" s="70"/>
      <c r="X47" s="70"/>
      <c r="Y47" s="49"/>
      <c r="Z47" s="70"/>
      <c r="AA47" s="70"/>
      <c r="AB47" s="86"/>
      <c r="AC47" s="71">
        <v>44344</v>
      </c>
      <c r="AD47" s="65"/>
      <c r="AE47" s="27"/>
      <c r="AF47" s="65"/>
      <c r="AG47" s="65"/>
    </row>
    <row r="48" spans="1:33" x14ac:dyDescent="0.25">
      <c r="A48" s="68">
        <v>48</v>
      </c>
      <c r="B48" s="71">
        <v>44328</v>
      </c>
      <c r="C48" s="65"/>
      <c r="D48" s="59"/>
      <c r="E48" s="65"/>
      <c r="F48" s="65">
        <v>2202104540</v>
      </c>
      <c r="G48" s="59"/>
      <c r="H48" s="65"/>
      <c r="I48" s="65" t="s">
        <v>405</v>
      </c>
      <c r="J48" s="27"/>
      <c r="K48" s="65" t="s">
        <v>406</v>
      </c>
      <c r="L48" s="65" t="s">
        <v>25</v>
      </c>
      <c r="M48" s="27"/>
      <c r="N48" s="65" t="s">
        <v>83</v>
      </c>
      <c r="O48" s="65" t="s">
        <v>146</v>
      </c>
      <c r="P48" s="66"/>
      <c r="Q48" s="65">
        <v>34.229999999999997</v>
      </c>
      <c r="R48" s="65"/>
      <c r="S48" s="69" t="s">
        <v>276</v>
      </c>
      <c r="T48" s="70"/>
      <c r="U48" s="70"/>
      <c r="V48" s="49"/>
      <c r="W48" s="70"/>
      <c r="X48" s="70"/>
      <c r="Y48" s="49"/>
      <c r="Z48" s="70"/>
      <c r="AA48" s="70"/>
      <c r="AB48" s="86"/>
      <c r="AC48" s="71">
        <v>44344</v>
      </c>
      <c r="AD48" s="65"/>
      <c r="AE48" s="27"/>
      <c r="AF48" s="65"/>
      <c r="AG48" s="65"/>
    </row>
    <row r="49" spans="1:33" x14ac:dyDescent="0.25">
      <c r="A49" s="68">
        <v>49</v>
      </c>
      <c r="B49" s="71">
        <v>44328</v>
      </c>
      <c r="C49" s="65"/>
      <c r="D49" s="59"/>
      <c r="E49" s="65"/>
      <c r="F49" s="65">
        <v>2202104541</v>
      </c>
      <c r="G49" s="59"/>
      <c r="H49" s="65"/>
      <c r="I49" s="65" t="s">
        <v>405</v>
      </c>
      <c r="J49" s="27"/>
      <c r="K49" s="65" t="s">
        <v>406</v>
      </c>
      <c r="L49" s="65" t="s">
        <v>25</v>
      </c>
      <c r="M49" s="27"/>
      <c r="N49" s="65" t="s">
        <v>83</v>
      </c>
      <c r="O49" s="65" t="s">
        <v>146</v>
      </c>
      <c r="P49" s="66"/>
      <c r="Q49" s="65">
        <v>61.43</v>
      </c>
      <c r="R49" s="65"/>
      <c r="S49" s="69" t="s">
        <v>276</v>
      </c>
      <c r="T49" s="70"/>
      <c r="U49" s="70"/>
      <c r="V49" s="49"/>
      <c r="W49" s="70"/>
      <c r="X49" s="70"/>
      <c r="Y49" s="49"/>
      <c r="Z49" s="70"/>
      <c r="AA49" s="70"/>
      <c r="AB49" s="86"/>
      <c r="AC49" s="71">
        <v>44344</v>
      </c>
      <c r="AD49" s="65"/>
      <c r="AE49" s="27"/>
      <c r="AF49" s="65"/>
      <c r="AG49" s="65"/>
    </row>
    <row r="50" spans="1:33" x14ac:dyDescent="0.25">
      <c r="A50" s="68">
        <v>50</v>
      </c>
      <c r="B50" s="71">
        <v>44328</v>
      </c>
      <c r="C50" s="65"/>
      <c r="D50" s="59"/>
      <c r="E50" s="65"/>
      <c r="F50" s="65">
        <v>2202104547</v>
      </c>
      <c r="G50" s="59"/>
      <c r="H50" s="65"/>
      <c r="I50" s="65" t="s">
        <v>407</v>
      </c>
      <c r="J50" s="27"/>
      <c r="K50" s="65" t="s">
        <v>406</v>
      </c>
      <c r="L50" s="65" t="s">
        <v>25</v>
      </c>
      <c r="M50" s="27"/>
      <c r="N50" s="65" t="s">
        <v>83</v>
      </c>
      <c r="O50" s="65" t="s">
        <v>146</v>
      </c>
      <c r="P50" s="66"/>
      <c r="Q50" s="65">
        <v>45.81</v>
      </c>
      <c r="R50" s="65"/>
      <c r="S50" s="69" t="s">
        <v>276</v>
      </c>
      <c r="T50" s="70"/>
      <c r="U50" s="70"/>
      <c r="V50" s="49"/>
      <c r="W50" s="70"/>
      <c r="X50" s="70"/>
      <c r="Y50" s="49"/>
      <c r="Z50" s="70"/>
      <c r="AA50" s="70"/>
      <c r="AB50" s="86"/>
      <c r="AC50" s="71">
        <v>44344</v>
      </c>
      <c r="AD50" s="65"/>
      <c r="AE50" s="27"/>
      <c r="AF50" s="65"/>
      <c r="AG50" s="65"/>
    </row>
    <row r="51" spans="1:33" x14ac:dyDescent="0.25">
      <c r="A51" s="68">
        <v>51</v>
      </c>
      <c r="B51" s="71">
        <v>44328</v>
      </c>
      <c r="C51" s="65"/>
      <c r="D51" s="59"/>
      <c r="E51" s="65"/>
      <c r="F51" s="65">
        <v>2202104552</v>
      </c>
      <c r="G51" s="59"/>
      <c r="H51" s="65"/>
      <c r="I51" s="65" t="s">
        <v>408</v>
      </c>
      <c r="J51" s="27"/>
      <c r="K51" s="65" t="s">
        <v>406</v>
      </c>
      <c r="L51" s="65" t="s">
        <v>25</v>
      </c>
      <c r="M51" s="27"/>
      <c r="N51" s="65" t="s">
        <v>83</v>
      </c>
      <c r="O51" s="65" t="s">
        <v>146</v>
      </c>
      <c r="P51" s="66"/>
      <c r="Q51" s="65">
        <v>35.799999999999997</v>
      </c>
      <c r="R51" s="65"/>
      <c r="S51" s="69" t="s">
        <v>276</v>
      </c>
      <c r="T51" s="70"/>
      <c r="U51" s="70"/>
      <c r="V51" s="49"/>
      <c r="W51" s="70"/>
      <c r="X51" s="70"/>
      <c r="Y51" s="49"/>
      <c r="Z51" s="70"/>
      <c r="AA51" s="70"/>
      <c r="AB51" s="86"/>
      <c r="AC51" s="71">
        <v>44344</v>
      </c>
      <c r="AD51" s="65"/>
      <c r="AE51" s="27"/>
      <c r="AF51" s="65"/>
      <c r="AG51" s="65"/>
    </row>
    <row r="52" spans="1:33" x14ac:dyDescent="0.25">
      <c r="A52" s="68">
        <v>52</v>
      </c>
      <c r="B52" s="71">
        <v>44328</v>
      </c>
      <c r="C52" s="65"/>
      <c r="D52" s="59"/>
      <c r="E52" s="65"/>
      <c r="F52" s="65">
        <v>2202104538</v>
      </c>
      <c r="G52" s="59"/>
      <c r="H52" s="65"/>
      <c r="I52" s="65" t="s">
        <v>405</v>
      </c>
      <c r="J52" s="27"/>
      <c r="K52" s="65" t="s">
        <v>406</v>
      </c>
      <c r="L52" s="65" t="s">
        <v>25</v>
      </c>
      <c r="M52" s="27"/>
      <c r="N52" s="65" t="s">
        <v>83</v>
      </c>
      <c r="O52" s="65" t="s">
        <v>146</v>
      </c>
      <c r="P52" s="66"/>
      <c r="Q52" s="65">
        <v>8.2100000000000009</v>
      </c>
      <c r="R52" s="65"/>
      <c r="S52" s="69" t="s">
        <v>276</v>
      </c>
      <c r="T52" s="70"/>
      <c r="U52" s="70"/>
      <c r="V52" s="49"/>
      <c r="W52" s="70"/>
      <c r="X52" s="70"/>
      <c r="Y52" s="49"/>
      <c r="Z52" s="70"/>
      <c r="AA52" s="70"/>
      <c r="AB52" s="86"/>
      <c r="AC52" s="71">
        <v>44344</v>
      </c>
      <c r="AD52" s="65"/>
      <c r="AE52" s="27"/>
      <c r="AF52" s="65"/>
      <c r="AG52" s="65"/>
    </row>
    <row r="53" spans="1:33" x14ac:dyDescent="0.25">
      <c r="A53" s="68">
        <v>53</v>
      </c>
      <c r="B53" s="71">
        <v>44328</v>
      </c>
      <c r="C53" s="65"/>
      <c r="D53" s="59"/>
      <c r="E53" s="65"/>
      <c r="F53" s="65">
        <v>2202104610</v>
      </c>
      <c r="G53" s="59"/>
      <c r="H53" s="65"/>
      <c r="I53" s="65" t="s">
        <v>409</v>
      </c>
      <c r="J53" s="27"/>
      <c r="K53" s="65" t="s">
        <v>373</v>
      </c>
      <c r="L53" s="65" t="s">
        <v>25</v>
      </c>
      <c r="M53" s="27"/>
      <c r="N53" s="65" t="s">
        <v>83</v>
      </c>
      <c r="O53" s="65" t="s">
        <v>146</v>
      </c>
      <c r="P53" s="66"/>
      <c r="Q53" s="65">
        <v>25.8</v>
      </c>
      <c r="R53" s="65"/>
      <c r="S53" s="69" t="s">
        <v>276</v>
      </c>
      <c r="T53" s="70"/>
      <c r="U53" s="70"/>
      <c r="V53" s="49"/>
      <c r="W53" s="70"/>
      <c r="X53" s="70"/>
      <c r="Y53" s="49"/>
      <c r="Z53" s="70"/>
      <c r="AA53" s="70"/>
      <c r="AB53" s="86"/>
      <c r="AC53" s="71">
        <v>44344</v>
      </c>
      <c r="AD53" s="65"/>
      <c r="AE53" s="27"/>
      <c r="AF53" s="65"/>
      <c r="AG53" s="65"/>
    </row>
    <row r="54" spans="1:33" x14ac:dyDescent="0.25">
      <c r="A54" s="68">
        <v>54</v>
      </c>
      <c r="B54" s="71">
        <v>44328</v>
      </c>
      <c r="C54" s="65"/>
      <c r="D54" s="59"/>
      <c r="E54" s="65"/>
      <c r="F54" s="65">
        <v>2202104539</v>
      </c>
      <c r="G54" s="59"/>
      <c r="H54" s="65"/>
      <c r="I54" s="65" t="s">
        <v>405</v>
      </c>
      <c r="J54" s="27"/>
      <c r="K54" s="65" t="s">
        <v>406</v>
      </c>
      <c r="L54" s="65" t="s">
        <v>25</v>
      </c>
      <c r="M54" s="27"/>
      <c r="N54" s="65" t="s">
        <v>83</v>
      </c>
      <c r="O54" s="65" t="s">
        <v>146</v>
      </c>
      <c r="P54" s="66"/>
      <c r="Q54" s="65">
        <v>22.3</v>
      </c>
      <c r="R54" s="65"/>
      <c r="S54" s="69" t="s">
        <v>276</v>
      </c>
      <c r="T54" s="70"/>
      <c r="U54" s="70"/>
      <c r="V54" s="49"/>
      <c r="W54" s="70"/>
      <c r="X54" s="70"/>
      <c r="Y54" s="49"/>
      <c r="Z54" s="70"/>
      <c r="AA54" s="70"/>
      <c r="AB54" s="86"/>
      <c r="AC54" s="71">
        <v>44344</v>
      </c>
      <c r="AD54" s="65"/>
      <c r="AE54" s="27"/>
      <c r="AF54" s="65"/>
      <c r="AG54" s="65"/>
    </row>
    <row r="55" spans="1:33" x14ac:dyDescent="0.25">
      <c r="A55" s="68">
        <v>55</v>
      </c>
      <c r="B55" s="71">
        <v>44328</v>
      </c>
      <c r="C55" s="65"/>
      <c r="D55" s="59"/>
      <c r="E55" s="65"/>
      <c r="F55" s="65">
        <v>2202103739</v>
      </c>
      <c r="G55" s="59"/>
      <c r="H55" s="65"/>
      <c r="I55" s="65" t="s">
        <v>410</v>
      </c>
      <c r="J55" s="27"/>
      <c r="K55" s="65" t="s">
        <v>411</v>
      </c>
      <c r="L55" s="65" t="s">
        <v>9</v>
      </c>
      <c r="M55" s="27"/>
      <c r="N55" s="65" t="s">
        <v>83</v>
      </c>
      <c r="O55" s="65" t="s">
        <v>377</v>
      </c>
      <c r="P55" s="66"/>
      <c r="Q55" s="65">
        <v>50</v>
      </c>
      <c r="R55" s="65"/>
      <c r="S55" s="69" t="s">
        <v>276</v>
      </c>
      <c r="T55" s="70"/>
      <c r="U55" s="70"/>
      <c r="V55" s="49"/>
      <c r="W55" s="70"/>
      <c r="X55" s="70"/>
      <c r="Y55" s="49"/>
      <c r="Z55" s="70"/>
      <c r="AA55" s="70"/>
      <c r="AB55" s="86"/>
      <c r="AC55" s="71">
        <v>44344</v>
      </c>
      <c r="AD55" s="65"/>
      <c r="AE55" s="27"/>
      <c r="AF55" s="65"/>
      <c r="AG55" s="65"/>
    </row>
    <row r="56" spans="1:33" x14ac:dyDescent="0.25">
      <c r="A56" s="68">
        <v>56</v>
      </c>
      <c r="B56" s="71">
        <v>44328</v>
      </c>
      <c r="C56" s="65"/>
      <c r="D56" s="59"/>
      <c r="E56" s="65"/>
      <c r="F56" s="65">
        <v>2202104606</v>
      </c>
      <c r="G56" s="59"/>
      <c r="H56" s="65"/>
      <c r="I56" s="65" t="s">
        <v>412</v>
      </c>
      <c r="J56" s="27"/>
      <c r="K56" s="65" t="s">
        <v>350</v>
      </c>
      <c r="L56" s="65" t="s">
        <v>16</v>
      </c>
      <c r="M56" s="27"/>
      <c r="N56" s="65" t="s">
        <v>83</v>
      </c>
      <c r="O56" s="65" t="s">
        <v>150</v>
      </c>
      <c r="P56" s="66"/>
      <c r="Q56" s="65">
        <v>19.38</v>
      </c>
      <c r="R56" s="65"/>
      <c r="S56" s="69" t="s">
        <v>276</v>
      </c>
      <c r="T56" s="70"/>
      <c r="U56" s="70"/>
      <c r="V56" s="49"/>
      <c r="W56" s="70"/>
      <c r="X56" s="70"/>
      <c r="Y56" s="49"/>
      <c r="Z56" s="70"/>
      <c r="AA56" s="70"/>
      <c r="AB56" s="86"/>
      <c r="AC56" s="71">
        <v>44344</v>
      </c>
      <c r="AD56" s="65"/>
      <c r="AE56" s="27"/>
      <c r="AF56" s="65"/>
      <c r="AG56" s="65"/>
    </row>
    <row r="57" spans="1:33" x14ac:dyDescent="0.25">
      <c r="A57" s="68">
        <v>57</v>
      </c>
      <c r="B57" s="71">
        <v>44329</v>
      </c>
      <c r="C57" s="65"/>
      <c r="D57" s="59"/>
      <c r="E57" s="65"/>
      <c r="F57" s="65">
        <v>2202104608</v>
      </c>
      <c r="G57" s="59"/>
      <c r="H57" s="65"/>
      <c r="I57" s="65" t="s">
        <v>413</v>
      </c>
      <c r="J57" s="27"/>
      <c r="K57" s="65" t="s">
        <v>414</v>
      </c>
      <c r="L57" s="65" t="s">
        <v>9</v>
      </c>
      <c r="M57" s="27"/>
      <c r="N57" s="65" t="s">
        <v>83</v>
      </c>
      <c r="O57" s="65" t="s">
        <v>362</v>
      </c>
      <c r="P57" s="66"/>
      <c r="Q57" s="65">
        <v>176.48</v>
      </c>
      <c r="R57" s="65"/>
      <c r="S57" s="69" t="s">
        <v>276</v>
      </c>
      <c r="T57" s="70"/>
      <c r="U57" s="70"/>
      <c r="V57" s="49"/>
      <c r="W57" s="70"/>
      <c r="X57" s="70"/>
      <c r="Y57" s="49"/>
      <c r="Z57" s="70"/>
      <c r="AA57" s="70"/>
      <c r="AB57" s="86"/>
      <c r="AC57" s="71">
        <v>44344</v>
      </c>
      <c r="AD57" s="65"/>
      <c r="AE57" s="27"/>
      <c r="AF57" s="65"/>
      <c r="AG57" s="65"/>
    </row>
    <row r="58" spans="1:33" x14ac:dyDescent="0.25">
      <c r="A58" s="68">
        <v>58</v>
      </c>
      <c r="B58" s="71">
        <v>44329</v>
      </c>
      <c r="C58" s="65"/>
      <c r="D58" s="59"/>
      <c r="E58" s="65"/>
      <c r="F58" s="65">
        <v>2202104640</v>
      </c>
      <c r="G58" s="59"/>
      <c r="H58" s="65"/>
      <c r="I58" s="65" t="s">
        <v>415</v>
      </c>
      <c r="J58" s="27"/>
      <c r="K58" s="65" t="s">
        <v>416</v>
      </c>
      <c r="L58" s="65" t="s">
        <v>9</v>
      </c>
      <c r="M58" s="27"/>
      <c r="N58" s="65" t="s">
        <v>83</v>
      </c>
      <c r="O58" s="65" t="s">
        <v>362</v>
      </c>
      <c r="P58" s="66"/>
      <c r="Q58" s="65">
        <v>297.54000000000002</v>
      </c>
      <c r="R58" s="65"/>
      <c r="S58" s="69" t="s">
        <v>276</v>
      </c>
      <c r="T58" s="70"/>
      <c r="U58" s="70"/>
      <c r="V58" s="49"/>
      <c r="W58" s="70"/>
      <c r="X58" s="70"/>
      <c r="Y58" s="49"/>
      <c r="Z58" s="70"/>
      <c r="AA58" s="70"/>
      <c r="AB58" s="86"/>
      <c r="AC58" s="71">
        <v>44344</v>
      </c>
      <c r="AD58" s="65"/>
      <c r="AE58" s="27"/>
      <c r="AF58" s="65"/>
      <c r="AG58" s="65"/>
    </row>
    <row r="59" spans="1:33" x14ac:dyDescent="0.25">
      <c r="A59" s="68">
        <v>59</v>
      </c>
      <c r="B59" s="71">
        <v>44329</v>
      </c>
      <c r="C59" s="65"/>
      <c r="D59" s="59"/>
      <c r="E59" s="65"/>
      <c r="F59" s="65">
        <v>2202104642</v>
      </c>
      <c r="G59" s="59"/>
      <c r="H59" s="65"/>
      <c r="I59" s="65" t="s">
        <v>417</v>
      </c>
      <c r="J59" s="27"/>
      <c r="K59" s="65" t="s">
        <v>379</v>
      </c>
      <c r="L59" s="65" t="s">
        <v>9</v>
      </c>
      <c r="M59" s="27"/>
      <c r="N59" s="65" t="s">
        <v>83</v>
      </c>
      <c r="O59" s="65" t="s">
        <v>362</v>
      </c>
      <c r="P59" s="66"/>
      <c r="Q59" s="65">
        <v>136</v>
      </c>
      <c r="R59" s="65"/>
      <c r="S59" s="69" t="s">
        <v>276</v>
      </c>
      <c r="T59" s="70"/>
      <c r="U59" s="70"/>
      <c r="V59" s="49"/>
      <c r="W59" s="70"/>
      <c r="X59" s="70"/>
      <c r="Y59" s="49"/>
      <c r="Z59" s="70"/>
      <c r="AA59" s="70"/>
      <c r="AB59" s="86"/>
      <c r="AC59" s="71">
        <v>44344</v>
      </c>
      <c r="AD59" s="65"/>
      <c r="AE59" s="27"/>
      <c r="AF59" s="65"/>
      <c r="AG59" s="65"/>
    </row>
    <row r="60" spans="1:33" x14ac:dyDescent="0.25">
      <c r="A60" s="68">
        <v>60</v>
      </c>
      <c r="B60" s="71">
        <v>44329</v>
      </c>
      <c r="C60" s="65"/>
      <c r="D60" s="59"/>
      <c r="E60" s="65"/>
      <c r="F60" s="65">
        <v>2202104639</v>
      </c>
      <c r="G60" s="59"/>
      <c r="H60" s="65"/>
      <c r="I60" s="65" t="s">
        <v>418</v>
      </c>
      <c r="J60" s="27"/>
      <c r="K60" s="65" t="s">
        <v>419</v>
      </c>
      <c r="L60" s="65" t="s">
        <v>25</v>
      </c>
      <c r="M60" s="27"/>
      <c r="N60" s="65" t="s">
        <v>83</v>
      </c>
      <c r="O60" s="65" t="s">
        <v>146</v>
      </c>
      <c r="P60" s="66"/>
      <c r="Q60" s="65">
        <v>18.149999999999999</v>
      </c>
      <c r="R60" s="65"/>
      <c r="S60" s="69" t="s">
        <v>276</v>
      </c>
      <c r="T60" s="70"/>
      <c r="U60" s="70"/>
      <c r="V60" s="49"/>
      <c r="W60" s="70"/>
      <c r="X60" s="70"/>
      <c r="Y60" s="49"/>
      <c r="Z60" s="70"/>
      <c r="AA60" s="70"/>
      <c r="AB60" s="86"/>
      <c r="AC60" s="71">
        <v>44344</v>
      </c>
      <c r="AD60" s="65"/>
      <c r="AE60" s="27"/>
      <c r="AF60" s="65"/>
      <c r="AG60" s="65"/>
    </row>
    <row r="61" spans="1:33" x14ac:dyDescent="0.25">
      <c r="A61" s="68">
        <v>61</v>
      </c>
      <c r="B61" s="71">
        <v>44330</v>
      </c>
      <c r="C61" s="65"/>
      <c r="D61" s="59"/>
      <c r="E61" s="65"/>
      <c r="F61" s="65">
        <v>2202103387</v>
      </c>
      <c r="G61" s="59"/>
      <c r="H61" s="65"/>
      <c r="I61" s="65" t="s">
        <v>420</v>
      </c>
      <c r="J61" s="27"/>
      <c r="K61" s="65" t="s">
        <v>340</v>
      </c>
      <c r="L61" s="65" t="s">
        <v>21</v>
      </c>
      <c r="M61" s="27"/>
      <c r="N61" s="65" t="s">
        <v>83</v>
      </c>
      <c r="O61" s="65" t="s">
        <v>139</v>
      </c>
      <c r="P61" s="66"/>
      <c r="Q61" s="65">
        <v>30.1</v>
      </c>
      <c r="R61" s="65"/>
      <c r="S61" s="69" t="s">
        <v>276</v>
      </c>
      <c r="T61" s="70"/>
      <c r="U61" s="70"/>
      <c r="V61" s="49"/>
      <c r="W61" s="70"/>
      <c r="X61" s="70"/>
      <c r="Y61" s="49"/>
      <c r="Z61" s="70"/>
      <c r="AA61" s="70"/>
      <c r="AB61" s="86"/>
      <c r="AC61" s="71">
        <v>44344</v>
      </c>
      <c r="AD61" s="65"/>
      <c r="AE61" s="27"/>
      <c r="AF61" s="65"/>
      <c r="AG61" s="65"/>
    </row>
    <row r="62" spans="1:33" x14ac:dyDescent="0.25">
      <c r="A62" s="68">
        <v>62</v>
      </c>
      <c r="B62" s="71">
        <v>44330</v>
      </c>
      <c r="C62" s="65"/>
      <c r="D62" s="59"/>
      <c r="E62" s="65"/>
      <c r="F62" s="65">
        <v>2202104817</v>
      </c>
      <c r="G62" s="59"/>
      <c r="H62" s="65"/>
      <c r="I62" s="65" t="s">
        <v>421</v>
      </c>
      <c r="J62" s="27"/>
      <c r="K62" s="65" t="s">
        <v>422</v>
      </c>
      <c r="L62" s="65" t="s">
        <v>25</v>
      </c>
      <c r="M62" s="27"/>
      <c r="N62" s="65" t="s">
        <v>83</v>
      </c>
      <c r="O62" s="65" t="s">
        <v>146</v>
      </c>
      <c r="P62" s="66"/>
      <c r="Q62" s="65">
        <v>36.299999999999997</v>
      </c>
      <c r="R62" s="65"/>
      <c r="S62" s="69" t="s">
        <v>276</v>
      </c>
      <c r="T62" s="70"/>
      <c r="U62" s="70"/>
      <c r="V62" s="49"/>
      <c r="W62" s="70"/>
      <c r="X62" s="70"/>
      <c r="Y62" s="49"/>
      <c r="Z62" s="70"/>
      <c r="AA62" s="70"/>
      <c r="AB62" s="86"/>
      <c r="AC62" s="71">
        <v>44344</v>
      </c>
      <c r="AD62" s="65"/>
      <c r="AE62" s="27"/>
      <c r="AF62" s="65"/>
      <c r="AG62" s="65"/>
    </row>
    <row r="63" spans="1:33" x14ac:dyDescent="0.25">
      <c r="A63" s="68">
        <v>63</v>
      </c>
      <c r="B63" s="71">
        <v>44330</v>
      </c>
      <c r="C63" s="65"/>
      <c r="D63" s="59"/>
      <c r="E63" s="65"/>
      <c r="F63" s="65">
        <v>1202101176</v>
      </c>
      <c r="G63" s="59"/>
      <c r="H63" s="65"/>
      <c r="I63" s="65" t="s">
        <v>423</v>
      </c>
      <c r="J63" s="27"/>
      <c r="K63" s="65" t="s">
        <v>371</v>
      </c>
      <c r="L63" s="65" t="s">
        <v>25</v>
      </c>
      <c r="M63" s="27"/>
      <c r="N63" s="65" t="s">
        <v>83</v>
      </c>
      <c r="O63" s="65" t="s">
        <v>146</v>
      </c>
      <c r="P63" s="66"/>
      <c r="Q63" s="65">
        <v>36</v>
      </c>
      <c r="R63" s="65"/>
      <c r="S63" s="69" t="s">
        <v>276</v>
      </c>
      <c r="T63" s="70"/>
      <c r="U63" s="70"/>
      <c r="V63" s="49"/>
      <c r="W63" s="70"/>
      <c r="X63" s="70"/>
      <c r="Y63" s="49"/>
      <c r="Z63" s="70"/>
      <c r="AA63" s="70"/>
      <c r="AB63" s="86"/>
      <c r="AC63" s="71">
        <v>44344</v>
      </c>
      <c r="AD63" s="65"/>
      <c r="AE63" s="27"/>
      <c r="AF63" s="65"/>
      <c r="AG63" s="65"/>
    </row>
    <row r="64" spans="1:33" x14ac:dyDescent="0.25">
      <c r="A64" s="68">
        <v>64</v>
      </c>
      <c r="B64" s="71">
        <v>44330</v>
      </c>
      <c r="C64" s="65"/>
      <c r="D64" s="59"/>
      <c r="E64" s="65"/>
      <c r="F64" s="65">
        <v>2202104761</v>
      </c>
      <c r="G64" s="59"/>
      <c r="H64" s="65"/>
      <c r="I64" s="65" t="s">
        <v>424</v>
      </c>
      <c r="J64" s="27"/>
      <c r="K64" s="65" t="s">
        <v>348</v>
      </c>
      <c r="L64" s="65" t="s">
        <v>16</v>
      </c>
      <c r="M64" s="27"/>
      <c r="N64" s="65" t="s">
        <v>83</v>
      </c>
      <c r="O64" s="65" t="s">
        <v>147</v>
      </c>
      <c r="P64" s="66"/>
      <c r="Q64" s="65">
        <v>220.46</v>
      </c>
      <c r="R64" s="65"/>
      <c r="S64" s="69" t="s">
        <v>276</v>
      </c>
      <c r="T64" s="70"/>
      <c r="U64" s="70"/>
      <c r="V64" s="49"/>
      <c r="W64" s="70"/>
      <c r="X64" s="70"/>
      <c r="Y64" s="49"/>
      <c r="Z64" s="70"/>
      <c r="AA64" s="70"/>
      <c r="AB64" s="86"/>
      <c r="AC64" s="71">
        <v>44344</v>
      </c>
      <c r="AD64" s="65"/>
      <c r="AE64" s="27"/>
      <c r="AF64" s="65"/>
      <c r="AG64" s="65"/>
    </row>
    <row r="65" spans="1:33" x14ac:dyDescent="0.25">
      <c r="A65" s="68">
        <v>65</v>
      </c>
      <c r="B65" s="71">
        <v>44330</v>
      </c>
      <c r="C65" s="65"/>
      <c r="D65" s="59"/>
      <c r="E65" s="65"/>
      <c r="F65" s="65">
        <v>2202104824</v>
      </c>
      <c r="G65" s="59"/>
      <c r="H65" s="65"/>
      <c r="I65" s="65" t="s">
        <v>425</v>
      </c>
      <c r="J65" s="27"/>
      <c r="K65" s="65" t="s">
        <v>426</v>
      </c>
      <c r="L65" s="65" t="s">
        <v>16</v>
      </c>
      <c r="M65" s="27"/>
      <c r="N65" s="65" t="s">
        <v>83</v>
      </c>
      <c r="O65" s="65" t="s">
        <v>148</v>
      </c>
      <c r="P65" s="66"/>
      <c r="Q65" s="65">
        <v>95.16</v>
      </c>
      <c r="R65" s="65"/>
      <c r="S65" s="69" t="s">
        <v>276</v>
      </c>
      <c r="T65" s="70"/>
      <c r="U65" s="70"/>
      <c r="V65" s="49"/>
      <c r="W65" s="70"/>
      <c r="X65" s="70"/>
      <c r="Y65" s="49"/>
      <c r="Z65" s="70"/>
      <c r="AA65" s="70"/>
      <c r="AB65" s="86"/>
      <c r="AC65" s="71">
        <v>44344</v>
      </c>
      <c r="AD65" s="65"/>
      <c r="AE65" s="27"/>
      <c r="AF65" s="65"/>
      <c r="AG65" s="65"/>
    </row>
    <row r="66" spans="1:33" x14ac:dyDescent="0.25">
      <c r="A66" s="68">
        <v>66</v>
      </c>
      <c r="B66" s="71">
        <v>44330</v>
      </c>
      <c r="C66" s="65"/>
      <c r="D66" s="59"/>
      <c r="E66" s="65"/>
      <c r="F66" s="65">
        <v>1202101189</v>
      </c>
      <c r="G66" s="59"/>
      <c r="H66" s="65"/>
      <c r="I66" s="65" t="s">
        <v>427</v>
      </c>
      <c r="J66" s="27"/>
      <c r="K66" s="65" t="s">
        <v>428</v>
      </c>
      <c r="L66" s="65" t="s">
        <v>16</v>
      </c>
      <c r="M66" s="27"/>
      <c r="N66" s="65" t="s">
        <v>83</v>
      </c>
      <c r="O66" s="65" t="s">
        <v>148</v>
      </c>
      <c r="P66" s="66"/>
      <c r="Q66" s="65">
        <v>165</v>
      </c>
      <c r="R66" s="65"/>
      <c r="S66" s="69" t="s">
        <v>276</v>
      </c>
      <c r="T66" s="70"/>
      <c r="U66" s="70"/>
      <c r="V66" s="49"/>
      <c r="W66" s="70"/>
      <c r="X66" s="70"/>
      <c r="Y66" s="49"/>
      <c r="Z66" s="70"/>
      <c r="AA66" s="70"/>
      <c r="AB66" s="86"/>
      <c r="AC66" s="71">
        <v>44344</v>
      </c>
      <c r="AD66" s="65"/>
      <c r="AE66" s="27"/>
      <c r="AF66" s="65"/>
      <c r="AG66" s="65"/>
    </row>
    <row r="67" spans="1:33" x14ac:dyDescent="0.25">
      <c r="A67" s="68">
        <v>67</v>
      </c>
      <c r="B67" s="71">
        <v>44330</v>
      </c>
      <c r="C67" s="65"/>
      <c r="D67" s="59"/>
      <c r="E67" s="65"/>
      <c r="F67" s="65">
        <v>2202104765</v>
      </c>
      <c r="G67" s="59"/>
      <c r="H67" s="65"/>
      <c r="I67" s="65" t="s">
        <v>429</v>
      </c>
      <c r="J67" s="27"/>
      <c r="K67" s="65" t="s">
        <v>379</v>
      </c>
      <c r="L67" s="65" t="s">
        <v>9</v>
      </c>
      <c r="M67" s="27"/>
      <c r="N67" s="65" t="s">
        <v>83</v>
      </c>
      <c r="O67" s="65" t="s">
        <v>362</v>
      </c>
      <c r="P67" s="66"/>
      <c r="Q67" s="65">
        <v>63.5</v>
      </c>
      <c r="R67" s="65"/>
      <c r="S67" s="69" t="s">
        <v>276</v>
      </c>
      <c r="T67" s="70"/>
      <c r="U67" s="70"/>
      <c r="V67" s="49"/>
      <c r="W67" s="70"/>
      <c r="X67" s="70"/>
      <c r="Y67" s="49"/>
      <c r="Z67" s="70"/>
      <c r="AA67" s="70"/>
      <c r="AB67" s="86"/>
      <c r="AC67" s="71">
        <v>44344</v>
      </c>
      <c r="AD67" s="65"/>
      <c r="AE67" s="27"/>
      <c r="AF67" s="65"/>
      <c r="AG67" s="65"/>
    </row>
    <row r="68" spans="1:33" x14ac:dyDescent="0.25">
      <c r="A68" s="68">
        <v>68</v>
      </c>
      <c r="B68" s="71">
        <v>44330</v>
      </c>
      <c r="C68" s="65"/>
      <c r="D68" s="59"/>
      <c r="E68" s="65"/>
      <c r="F68" s="65">
        <v>2202104764</v>
      </c>
      <c r="G68" s="59"/>
      <c r="H68" s="65"/>
      <c r="I68" s="65" t="s">
        <v>430</v>
      </c>
      <c r="J68" s="27"/>
      <c r="K68" s="65" t="s">
        <v>379</v>
      </c>
      <c r="L68" s="65" t="s">
        <v>9</v>
      </c>
      <c r="M68" s="27"/>
      <c r="N68" s="65" t="s">
        <v>83</v>
      </c>
      <c r="O68" s="65" t="s">
        <v>362</v>
      </c>
      <c r="P68" s="66"/>
      <c r="Q68" s="65">
        <v>39</v>
      </c>
      <c r="R68" s="65"/>
      <c r="S68" s="69" t="s">
        <v>276</v>
      </c>
      <c r="T68" s="70"/>
      <c r="U68" s="70"/>
      <c r="V68" s="49"/>
      <c r="W68" s="70"/>
      <c r="X68" s="70"/>
      <c r="Y68" s="49"/>
      <c r="Z68" s="70"/>
      <c r="AA68" s="70"/>
      <c r="AB68" s="86"/>
      <c r="AC68" s="71">
        <v>44344</v>
      </c>
      <c r="AD68" s="65"/>
      <c r="AE68" s="27"/>
      <c r="AF68" s="65"/>
      <c r="AG68" s="65"/>
    </row>
    <row r="69" spans="1:33" x14ac:dyDescent="0.25">
      <c r="A69" s="68">
        <v>69</v>
      </c>
      <c r="B69" s="71">
        <v>44330</v>
      </c>
      <c r="C69" s="65"/>
      <c r="D69" s="59"/>
      <c r="E69" s="65"/>
      <c r="F69" s="65">
        <v>2202104750</v>
      </c>
      <c r="G69" s="59"/>
      <c r="H69" s="65"/>
      <c r="I69" s="65" t="s">
        <v>431</v>
      </c>
      <c r="J69" s="27"/>
      <c r="K69" s="65" t="s">
        <v>361</v>
      </c>
      <c r="L69" s="65" t="s">
        <v>9</v>
      </c>
      <c r="M69" s="27"/>
      <c r="N69" s="65" t="s">
        <v>83</v>
      </c>
      <c r="O69" s="65" t="s">
        <v>133</v>
      </c>
      <c r="P69" s="66"/>
      <c r="Q69" s="65">
        <v>455.8</v>
      </c>
      <c r="R69" s="65"/>
      <c r="S69" s="69" t="s">
        <v>276</v>
      </c>
      <c r="T69" s="70"/>
      <c r="U69" s="70"/>
      <c r="V69" s="49"/>
      <c r="W69" s="70"/>
      <c r="X69" s="70"/>
      <c r="Y69" s="49"/>
      <c r="Z69" s="70"/>
      <c r="AA69" s="70"/>
      <c r="AB69" s="86"/>
      <c r="AC69" s="71">
        <v>44344</v>
      </c>
      <c r="AD69" s="65"/>
      <c r="AE69" s="27"/>
      <c r="AF69" s="65"/>
      <c r="AG69" s="65"/>
    </row>
    <row r="70" spans="1:33" x14ac:dyDescent="0.25">
      <c r="A70" s="68">
        <v>70</v>
      </c>
      <c r="B70" s="71">
        <v>44330</v>
      </c>
      <c r="C70" s="65"/>
      <c r="D70" s="59"/>
      <c r="E70" s="65"/>
      <c r="F70" s="65">
        <v>2202104808</v>
      </c>
      <c r="G70" s="59"/>
      <c r="H70" s="65"/>
      <c r="I70" s="65" t="s">
        <v>432</v>
      </c>
      <c r="J70" s="27"/>
      <c r="K70" s="65" t="s">
        <v>433</v>
      </c>
      <c r="L70" s="65" t="s">
        <v>9</v>
      </c>
      <c r="M70" s="27"/>
      <c r="N70" s="65" t="s">
        <v>83</v>
      </c>
      <c r="O70" s="65" t="s">
        <v>362</v>
      </c>
      <c r="P70" s="66"/>
      <c r="Q70" s="65">
        <v>41.14</v>
      </c>
      <c r="R70" s="65"/>
      <c r="S70" s="69" t="s">
        <v>276</v>
      </c>
      <c r="T70" s="70"/>
      <c r="U70" s="70"/>
      <c r="V70" s="49"/>
      <c r="W70" s="70"/>
      <c r="X70" s="70"/>
      <c r="Y70" s="49"/>
      <c r="Z70" s="70"/>
      <c r="AA70" s="70"/>
      <c r="AB70" s="86"/>
      <c r="AC70" s="71">
        <v>44344</v>
      </c>
      <c r="AD70" s="65"/>
      <c r="AE70" s="27"/>
      <c r="AF70" s="65"/>
      <c r="AG70" s="65"/>
    </row>
    <row r="71" spans="1:33" x14ac:dyDescent="0.25">
      <c r="A71" s="68">
        <v>71</v>
      </c>
      <c r="B71" s="71">
        <v>44333</v>
      </c>
      <c r="C71" s="65"/>
      <c r="D71" s="59"/>
      <c r="E71" s="65"/>
      <c r="F71" s="65">
        <v>2202104807</v>
      </c>
      <c r="G71" s="59"/>
      <c r="H71" s="65"/>
      <c r="I71" s="65" t="s">
        <v>434</v>
      </c>
      <c r="J71" s="27"/>
      <c r="K71" s="65" t="s">
        <v>395</v>
      </c>
      <c r="L71" s="65" t="s">
        <v>9</v>
      </c>
      <c r="M71" s="27"/>
      <c r="N71" s="65" t="s">
        <v>83</v>
      </c>
      <c r="O71" s="65" t="s">
        <v>362</v>
      </c>
      <c r="P71" s="66"/>
      <c r="Q71" s="65">
        <v>81.5</v>
      </c>
      <c r="R71" s="65"/>
      <c r="S71" s="69" t="s">
        <v>276</v>
      </c>
      <c r="T71" s="70"/>
      <c r="U71" s="70"/>
      <c r="V71" s="49"/>
      <c r="W71" s="70"/>
      <c r="X71" s="70"/>
      <c r="Y71" s="49"/>
      <c r="Z71" s="70"/>
      <c r="AA71" s="70"/>
      <c r="AB71" s="86"/>
      <c r="AC71" s="71">
        <v>44344</v>
      </c>
      <c r="AD71" s="65"/>
      <c r="AE71" s="27"/>
      <c r="AF71" s="65"/>
      <c r="AG71" s="65"/>
    </row>
    <row r="72" spans="1:33" x14ac:dyDescent="0.25">
      <c r="A72" s="68">
        <v>72</v>
      </c>
      <c r="B72" s="71">
        <v>44333</v>
      </c>
      <c r="C72" s="65"/>
      <c r="D72" s="59"/>
      <c r="E72" s="65"/>
      <c r="F72" s="65">
        <v>2202104757</v>
      </c>
      <c r="G72" s="59"/>
      <c r="H72" s="65"/>
      <c r="I72" s="65" t="s">
        <v>435</v>
      </c>
      <c r="J72" s="27"/>
      <c r="K72" s="65" t="s">
        <v>344</v>
      </c>
      <c r="L72" s="65" t="s">
        <v>25</v>
      </c>
      <c r="M72" s="27"/>
      <c r="N72" s="65" t="s">
        <v>83</v>
      </c>
      <c r="O72" s="65" t="s">
        <v>146</v>
      </c>
      <c r="P72" s="66"/>
      <c r="Q72" s="65">
        <v>35.9</v>
      </c>
      <c r="R72" s="65"/>
      <c r="S72" s="69" t="s">
        <v>276</v>
      </c>
      <c r="T72" s="70"/>
      <c r="U72" s="70"/>
      <c r="V72" s="49"/>
      <c r="W72" s="70"/>
      <c r="X72" s="70"/>
      <c r="Y72" s="49"/>
      <c r="Z72" s="70"/>
      <c r="AA72" s="70"/>
      <c r="AB72" s="86"/>
      <c r="AC72" s="71">
        <v>44344</v>
      </c>
      <c r="AD72" s="65"/>
      <c r="AE72" s="27"/>
      <c r="AF72" s="65"/>
      <c r="AG72" s="65"/>
    </row>
    <row r="73" spans="1:33" x14ac:dyDescent="0.25">
      <c r="A73" s="68">
        <v>73</v>
      </c>
      <c r="B73" s="71">
        <v>44333</v>
      </c>
      <c r="C73" s="65"/>
      <c r="D73" s="59"/>
      <c r="E73" s="65"/>
      <c r="F73" s="65">
        <v>2202104993</v>
      </c>
      <c r="G73" s="59"/>
      <c r="H73" s="65"/>
      <c r="I73" s="65" t="s">
        <v>436</v>
      </c>
      <c r="J73" s="27"/>
      <c r="K73" s="65" t="s">
        <v>437</v>
      </c>
      <c r="L73" s="65" t="s">
        <v>9</v>
      </c>
      <c r="M73" s="27"/>
      <c r="N73" s="65" t="s">
        <v>83</v>
      </c>
      <c r="O73" s="65" t="s">
        <v>362</v>
      </c>
      <c r="P73" s="66"/>
      <c r="Q73" s="65">
        <v>36.840000000000003</v>
      </c>
      <c r="R73" s="65"/>
      <c r="S73" s="69" t="s">
        <v>276</v>
      </c>
      <c r="T73" s="70"/>
      <c r="U73" s="70"/>
      <c r="V73" s="49"/>
      <c r="W73" s="70"/>
      <c r="X73" s="70"/>
      <c r="Y73" s="49"/>
      <c r="Z73" s="70"/>
      <c r="AA73" s="70"/>
      <c r="AB73" s="86"/>
      <c r="AC73" s="71">
        <v>44344</v>
      </c>
      <c r="AD73" s="65"/>
      <c r="AE73" s="27"/>
      <c r="AF73" s="65"/>
      <c r="AG73" s="65"/>
    </row>
    <row r="74" spans="1:33" x14ac:dyDescent="0.25">
      <c r="A74" s="68">
        <v>74</v>
      </c>
      <c r="B74" s="71">
        <v>44333</v>
      </c>
      <c r="C74" s="65"/>
      <c r="D74" s="59"/>
      <c r="E74" s="65"/>
      <c r="F74" s="65">
        <v>2202104991</v>
      </c>
      <c r="G74" s="59"/>
      <c r="H74" s="65"/>
      <c r="I74" s="65" t="s">
        <v>436</v>
      </c>
      <c r="J74" s="27"/>
      <c r="K74" s="65" t="s">
        <v>437</v>
      </c>
      <c r="L74" s="65" t="s">
        <v>9</v>
      </c>
      <c r="M74" s="27"/>
      <c r="N74" s="65" t="s">
        <v>83</v>
      </c>
      <c r="O74" s="65" t="s">
        <v>362</v>
      </c>
      <c r="P74" s="66"/>
      <c r="Q74" s="65">
        <v>56.53</v>
      </c>
      <c r="R74" s="65"/>
      <c r="S74" s="69" t="s">
        <v>276</v>
      </c>
      <c r="T74" s="70"/>
      <c r="U74" s="70"/>
      <c r="V74" s="49"/>
      <c r="W74" s="70"/>
      <c r="X74" s="70"/>
      <c r="Y74" s="49"/>
      <c r="Z74" s="70"/>
      <c r="AA74" s="70"/>
      <c r="AB74" s="86"/>
      <c r="AC74" s="71">
        <v>44344</v>
      </c>
      <c r="AD74" s="65"/>
      <c r="AE74" s="27"/>
      <c r="AF74" s="65"/>
      <c r="AG74" s="65"/>
    </row>
    <row r="75" spans="1:33" x14ac:dyDescent="0.25">
      <c r="A75" s="68">
        <v>75</v>
      </c>
      <c r="B75" s="71">
        <v>44333</v>
      </c>
      <c r="C75" s="65"/>
      <c r="D75" s="59"/>
      <c r="E75" s="65"/>
      <c r="F75" s="65">
        <v>2202104952</v>
      </c>
      <c r="G75" s="59"/>
      <c r="H75" s="65"/>
      <c r="I75" s="65" t="s">
        <v>438</v>
      </c>
      <c r="J75" s="27"/>
      <c r="K75" s="65" t="s">
        <v>346</v>
      </c>
      <c r="L75" s="65" t="s">
        <v>9</v>
      </c>
      <c r="M75" s="27"/>
      <c r="N75" s="65" t="s">
        <v>83</v>
      </c>
      <c r="O75" s="65" t="s">
        <v>362</v>
      </c>
      <c r="P75" s="66"/>
      <c r="Q75" s="65">
        <v>78</v>
      </c>
      <c r="R75" s="65"/>
      <c r="S75" s="69" t="s">
        <v>276</v>
      </c>
      <c r="T75" s="70"/>
      <c r="U75" s="70"/>
      <c r="V75" s="49"/>
      <c r="W75" s="70"/>
      <c r="X75" s="70"/>
      <c r="Y75" s="49"/>
      <c r="Z75" s="70"/>
      <c r="AA75" s="70"/>
      <c r="AB75" s="86"/>
      <c r="AC75" s="71">
        <v>44344</v>
      </c>
      <c r="AD75" s="65"/>
      <c r="AE75" s="27"/>
      <c r="AF75" s="65"/>
      <c r="AG75" s="65"/>
    </row>
    <row r="76" spans="1:33" x14ac:dyDescent="0.25">
      <c r="A76" s="68">
        <v>76</v>
      </c>
      <c r="B76" s="71">
        <v>44333</v>
      </c>
      <c r="C76" s="65"/>
      <c r="D76" s="59"/>
      <c r="E76" s="65"/>
      <c r="F76" s="65">
        <v>2202104948</v>
      </c>
      <c r="G76" s="59"/>
      <c r="H76" s="65"/>
      <c r="I76" s="65" t="s">
        <v>439</v>
      </c>
      <c r="J76" s="27"/>
      <c r="K76" s="65" t="s">
        <v>356</v>
      </c>
      <c r="L76" s="65" t="s">
        <v>9</v>
      </c>
      <c r="M76" s="27"/>
      <c r="N76" s="65" t="s">
        <v>83</v>
      </c>
      <c r="O76" s="65" t="s">
        <v>133</v>
      </c>
      <c r="P76" s="66"/>
      <c r="Q76" s="65">
        <v>44</v>
      </c>
      <c r="R76" s="65"/>
      <c r="S76" s="69" t="s">
        <v>276</v>
      </c>
      <c r="T76" s="70"/>
      <c r="U76" s="70"/>
      <c r="V76" s="49"/>
      <c r="W76" s="70"/>
      <c r="X76" s="70"/>
      <c r="Y76" s="49"/>
      <c r="Z76" s="70"/>
      <c r="AA76" s="70"/>
      <c r="AB76" s="86"/>
      <c r="AC76" s="71">
        <v>44344</v>
      </c>
      <c r="AD76" s="65"/>
      <c r="AE76" s="27"/>
      <c r="AF76" s="65"/>
      <c r="AG76" s="65"/>
    </row>
    <row r="77" spans="1:33" x14ac:dyDescent="0.25">
      <c r="A77" s="68">
        <v>77</v>
      </c>
      <c r="B77" s="71">
        <v>44334</v>
      </c>
      <c r="C77" s="65"/>
      <c r="D77" s="59"/>
      <c r="E77" s="65"/>
      <c r="F77" s="65">
        <v>2202105180</v>
      </c>
      <c r="G77" s="59"/>
      <c r="H77" s="65"/>
      <c r="I77" s="65" t="s">
        <v>440</v>
      </c>
      <c r="J77" s="27"/>
      <c r="K77" s="65" t="s">
        <v>356</v>
      </c>
      <c r="L77" s="65" t="s">
        <v>9</v>
      </c>
      <c r="M77" s="27"/>
      <c r="N77" s="65" t="s">
        <v>83</v>
      </c>
      <c r="O77" s="65" t="s">
        <v>133</v>
      </c>
      <c r="P77" s="66"/>
      <c r="Q77" s="65">
        <v>165</v>
      </c>
      <c r="R77" s="65"/>
      <c r="S77" s="69" t="s">
        <v>276</v>
      </c>
      <c r="T77" s="70"/>
      <c r="U77" s="70"/>
      <c r="V77" s="49"/>
      <c r="W77" s="70"/>
      <c r="X77" s="70"/>
      <c r="Y77" s="49"/>
      <c r="Z77" s="70"/>
      <c r="AA77" s="70"/>
      <c r="AB77" s="86"/>
      <c r="AC77" s="71">
        <v>44344</v>
      </c>
      <c r="AD77" s="65"/>
      <c r="AE77" s="27"/>
      <c r="AF77" s="65"/>
      <c r="AG77" s="65"/>
    </row>
    <row r="78" spans="1:33" x14ac:dyDescent="0.25">
      <c r="A78" s="68">
        <v>78</v>
      </c>
      <c r="B78" s="71">
        <v>44334</v>
      </c>
      <c r="C78" s="65"/>
      <c r="D78" s="59"/>
      <c r="E78" s="65"/>
      <c r="F78" s="65">
        <v>2202105181</v>
      </c>
      <c r="G78" s="59"/>
      <c r="H78" s="65"/>
      <c r="I78" s="65" t="s">
        <v>440</v>
      </c>
      <c r="J78" s="27"/>
      <c r="K78" s="65" t="s">
        <v>356</v>
      </c>
      <c r="L78" s="65" t="s">
        <v>9</v>
      </c>
      <c r="M78" s="27"/>
      <c r="N78" s="65" t="s">
        <v>83</v>
      </c>
      <c r="O78" s="65" t="s">
        <v>133</v>
      </c>
      <c r="P78" s="66"/>
      <c r="Q78" s="65">
        <v>185</v>
      </c>
      <c r="R78" s="65"/>
      <c r="S78" s="69" t="s">
        <v>276</v>
      </c>
      <c r="T78" s="70"/>
      <c r="U78" s="70"/>
      <c r="V78" s="49"/>
      <c r="W78" s="70"/>
      <c r="X78" s="70"/>
      <c r="Y78" s="49"/>
      <c r="Z78" s="70"/>
      <c r="AA78" s="70"/>
      <c r="AB78" s="86"/>
      <c r="AC78" s="71">
        <v>44344</v>
      </c>
      <c r="AD78" s="65"/>
      <c r="AE78" s="27"/>
      <c r="AF78" s="65"/>
      <c r="AG78" s="65"/>
    </row>
    <row r="79" spans="1:33" x14ac:dyDescent="0.25">
      <c r="A79" s="68">
        <v>79</v>
      </c>
      <c r="B79" s="71">
        <v>44334</v>
      </c>
      <c r="C79" s="65"/>
      <c r="D79" s="59"/>
      <c r="E79" s="65"/>
      <c r="F79" s="65">
        <v>2202105171</v>
      </c>
      <c r="G79" s="59"/>
      <c r="H79" s="65"/>
      <c r="I79" s="65" t="s">
        <v>441</v>
      </c>
      <c r="J79" s="27"/>
      <c r="K79" s="65" t="s">
        <v>379</v>
      </c>
      <c r="L79" s="65" t="s">
        <v>9</v>
      </c>
      <c r="M79" s="27"/>
      <c r="N79" s="65" t="s">
        <v>83</v>
      </c>
      <c r="O79" s="65" t="s">
        <v>362</v>
      </c>
      <c r="P79" s="66"/>
      <c r="Q79" s="65">
        <v>65</v>
      </c>
      <c r="R79" s="65"/>
      <c r="S79" s="69" t="s">
        <v>276</v>
      </c>
      <c r="T79" s="70"/>
      <c r="U79" s="70"/>
      <c r="V79" s="49"/>
      <c r="W79" s="70"/>
      <c r="X79" s="70"/>
      <c r="Y79" s="49"/>
      <c r="Z79" s="70"/>
      <c r="AA79" s="70"/>
      <c r="AB79" s="86"/>
      <c r="AC79" s="71">
        <v>44344</v>
      </c>
      <c r="AD79" s="65"/>
      <c r="AE79" s="27"/>
      <c r="AF79" s="65"/>
      <c r="AG79" s="65"/>
    </row>
    <row r="80" spans="1:33" x14ac:dyDescent="0.25">
      <c r="A80" s="68">
        <v>80</v>
      </c>
      <c r="B80" s="71">
        <v>44334</v>
      </c>
      <c r="C80" s="65"/>
      <c r="D80" s="59"/>
      <c r="E80" s="65"/>
      <c r="F80" s="65">
        <v>2202104884</v>
      </c>
      <c r="G80" s="59"/>
      <c r="H80" s="65"/>
      <c r="I80" s="65" t="s">
        <v>385</v>
      </c>
      <c r="J80" s="27"/>
      <c r="K80" s="65" t="s">
        <v>388</v>
      </c>
      <c r="L80" s="65" t="s">
        <v>25</v>
      </c>
      <c r="M80" s="27"/>
      <c r="N80" s="65" t="s">
        <v>83</v>
      </c>
      <c r="O80" s="65" t="s">
        <v>136</v>
      </c>
      <c r="P80" s="66"/>
      <c r="Q80" s="65">
        <v>15.73</v>
      </c>
      <c r="R80" s="65"/>
      <c r="S80" s="69" t="s">
        <v>276</v>
      </c>
      <c r="T80" s="70"/>
      <c r="U80" s="70"/>
      <c r="V80" s="49"/>
      <c r="W80" s="70"/>
      <c r="X80" s="70"/>
      <c r="Y80" s="49"/>
      <c r="Z80" s="70"/>
      <c r="AA80" s="70"/>
      <c r="AB80" s="86"/>
      <c r="AC80" s="71">
        <v>44344</v>
      </c>
      <c r="AD80" s="65"/>
      <c r="AE80" s="27"/>
      <c r="AF80" s="65"/>
      <c r="AG80" s="65"/>
    </row>
    <row r="81" spans="1:33" x14ac:dyDescent="0.25">
      <c r="A81" s="68">
        <v>81</v>
      </c>
      <c r="B81" s="71">
        <v>44334</v>
      </c>
      <c r="C81" s="65"/>
      <c r="D81" s="59"/>
      <c r="E81" s="65"/>
      <c r="F81" s="65">
        <v>1202101205</v>
      </c>
      <c r="G81" s="59"/>
      <c r="H81" s="65"/>
      <c r="I81" s="65" t="s">
        <v>442</v>
      </c>
      <c r="J81" s="27"/>
      <c r="K81" s="65" t="s">
        <v>388</v>
      </c>
      <c r="L81" s="65" t="s">
        <v>25</v>
      </c>
      <c r="M81" s="27"/>
      <c r="N81" s="65" t="s">
        <v>83</v>
      </c>
      <c r="O81" s="65" t="s">
        <v>136</v>
      </c>
      <c r="P81" s="66"/>
      <c r="Q81" s="65">
        <v>21.78</v>
      </c>
      <c r="R81" s="65"/>
      <c r="S81" s="69" t="s">
        <v>276</v>
      </c>
      <c r="T81" s="70"/>
      <c r="U81" s="70"/>
      <c r="V81" s="49"/>
      <c r="W81" s="70"/>
      <c r="X81" s="70"/>
      <c r="Y81" s="49"/>
      <c r="Z81" s="70"/>
      <c r="AA81" s="70"/>
      <c r="AB81" s="86"/>
      <c r="AC81" s="71">
        <v>44344</v>
      </c>
      <c r="AD81" s="65"/>
      <c r="AE81" s="27"/>
      <c r="AF81" s="65"/>
      <c r="AG81" s="65"/>
    </row>
    <row r="82" spans="1:33" x14ac:dyDescent="0.25">
      <c r="A82" s="68">
        <v>82</v>
      </c>
      <c r="B82" s="71">
        <v>44334</v>
      </c>
      <c r="C82" s="65"/>
      <c r="D82" s="59"/>
      <c r="E82" s="65"/>
      <c r="F82" s="65">
        <v>2202104915</v>
      </c>
      <c r="G82" s="59"/>
      <c r="H82" s="65"/>
      <c r="I82" s="65" t="s">
        <v>385</v>
      </c>
      <c r="J82" s="27"/>
      <c r="K82" s="65" t="s">
        <v>388</v>
      </c>
      <c r="L82" s="65" t="s">
        <v>25</v>
      </c>
      <c r="M82" s="27"/>
      <c r="N82" s="65" t="s">
        <v>83</v>
      </c>
      <c r="O82" s="65" t="s">
        <v>136</v>
      </c>
      <c r="P82" s="66"/>
      <c r="Q82" s="65">
        <v>17.420000000000002</v>
      </c>
      <c r="R82" s="65"/>
      <c r="S82" s="69" t="s">
        <v>276</v>
      </c>
      <c r="T82" s="70"/>
      <c r="U82" s="70"/>
      <c r="V82" s="49"/>
      <c r="W82" s="70"/>
      <c r="X82" s="70"/>
      <c r="Y82" s="49"/>
      <c r="Z82" s="70"/>
      <c r="AA82" s="70"/>
      <c r="AB82" s="86"/>
      <c r="AC82" s="71">
        <v>44344</v>
      </c>
      <c r="AD82" s="65"/>
      <c r="AE82" s="27"/>
      <c r="AF82" s="65"/>
      <c r="AG82" s="65"/>
    </row>
    <row r="83" spans="1:33" x14ac:dyDescent="0.25">
      <c r="A83" s="68">
        <v>83</v>
      </c>
      <c r="B83" s="71">
        <v>44334</v>
      </c>
      <c r="C83" s="65"/>
      <c r="D83" s="59"/>
      <c r="E83" s="65"/>
      <c r="F83" s="65">
        <v>2202104898</v>
      </c>
      <c r="G83" s="59"/>
      <c r="H83" s="65"/>
      <c r="I83" s="65" t="s">
        <v>443</v>
      </c>
      <c r="J83" s="27"/>
      <c r="K83" s="65" t="s">
        <v>388</v>
      </c>
      <c r="L83" s="65" t="s">
        <v>25</v>
      </c>
      <c r="M83" s="27"/>
      <c r="N83" s="65" t="s">
        <v>83</v>
      </c>
      <c r="O83" s="65" t="s">
        <v>136</v>
      </c>
      <c r="P83" s="66"/>
      <c r="Q83" s="65">
        <v>23</v>
      </c>
      <c r="R83" s="65"/>
      <c r="S83" s="69" t="s">
        <v>276</v>
      </c>
      <c r="T83" s="70"/>
      <c r="U83" s="70"/>
      <c r="V83" s="49"/>
      <c r="W83" s="70"/>
      <c r="X83" s="70"/>
      <c r="Y83" s="49"/>
      <c r="Z83" s="70"/>
      <c r="AA83" s="70"/>
      <c r="AB83" s="86"/>
      <c r="AC83" s="71">
        <v>44344</v>
      </c>
      <c r="AD83" s="65"/>
      <c r="AE83" s="27"/>
      <c r="AF83" s="65"/>
      <c r="AG83" s="65"/>
    </row>
    <row r="84" spans="1:33" x14ac:dyDescent="0.25">
      <c r="A84" s="68">
        <v>84</v>
      </c>
      <c r="B84" s="71">
        <v>44334</v>
      </c>
      <c r="C84" s="65"/>
      <c r="D84" s="59"/>
      <c r="E84" s="65"/>
      <c r="F84" s="65">
        <v>2202104890</v>
      </c>
      <c r="G84" s="59"/>
      <c r="H84" s="65"/>
      <c r="I84" s="65" t="s">
        <v>444</v>
      </c>
      <c r="J84" s="27"/>
      <c r="K84" s="65" t="s">
        <v>388</v>
      </c>
      <c r="L84" s="65" t="s">
        <v>25</v>
      </c>
      <c r="M84" s="27"/>
      <c r="N84" s="65" t="s">
        <v>83</v>
      </c>
      <c r="O84" s="65" t="s">
        <v>136</v>
      </c>
      <c r="P84" s="66"/>
      <c r="Q84" s="65">
        <v>12.48</v>
      </c>
      <c r="R84" s="65"/>
      <c r="S84" s="69" t="s">
        <v>276</v>
      </c>
      <c r="T84" s="70"/>
      <c r="U84" s="70"/>
      <c r="V84" s="49"/>
      <c r="W84" s="70"/>
      <c r="X84" s="70"/>
      <c r="Y84" s="49"/>
      <c r="Z84" s="70"/>
      <c r="AA84" s="70"/>
      <c r="AB84" s="86"/>
      <c r="AC84" s="71">
        <v>44344</v>
      </c>
      <c r="AD84" s="65"/>
      <c r="AE84" s="27"/>
      <c r="AF84" s="65"/>
      <c r="AG84" s="65"/>
    </row>
    <row r="85" spans="1:33" x14ac:dyDescent="0.25">
      <c r="A85" s="68">
        <v>85</v>
      </c>
      <c r="B85" s="71">
        <v>44334</v>
      </c>
      <c r="C85" s="65"/>
      <c r="D85" s="59"/>
      <c r="E85" s="65"/>
      <c r="F85" s="65">
        <v>2202104878</v>
      </c>
      <c r="G85" s="59"/>
      <c r="H85" s="65"/>
      <c r="I85" s="65" t="s">
        <v>385</v>
      </c>
      <c r="J85" s="27"/>
      <c r="K85" s="65" t="s">
        <v>386</v>
      </c>
      <c r="L85" s="65" t="s">
        <v>25</v>
      </c>
      <c r="M85" s="27"/>
      <c r="N85" s="65" t="s">
        <v>83</v>
      </c>
      <c r="O85" s="65" t="s">
        <v>136</v>
      </c>
      <c r="P85" s="66"/>
      <c r="Q85" s="65">
        <v>19.36</v>
      </c>
      <c r="R85" s="65"/>
      <c r="S85" s="69" t="s">
        <v>276</v>
      </c>
      <c r="T85" s="70"/>
      <c r="U85" s="70"/>
      <c r="V85" s="49"/>
      <c r="W85" s="70"/>
      <c r="X85" s="70"/>
      <c r="Y85" s="49"/>
      <c r="Z85" s="70"/>
      <c r="AA85" s="70"/>
      <c r="AB85" s="86"/>
      <c r="AC85" s="71">
        <v>44344</v>
      </c>
      <c r="AD85" s="65"/>
      <c r="AE85" s="27"/>
      <c r="AF85" s="65"/>
      <c r="AG85" s="65"/>
    </row>
    <row r="86" spans="1:33" x14ac:dyDescent="0.25">
      <c r="A86" s="68">
        <v>86</v>
      </c>
      <c r="B86" s="71">
        <v>44334</v>
      </c>
      <c r="C86" s="65"/>
      <c r="D86" s="59"/>
      <c r="E86" s="65"/>
      <c r="F86" s="65">
        <v>2202104877</v>
      </c>
      <c r="G86" s="59"/>
      <c r="H86" s="65"/>
      <c r="I86" s="65" t="s">
        <v>385</v>
      </c>
      <c r="J86" s="27"/>
      <c r="K86" s="65" t="s">
        <v>386</v>
      </c>
      <c r="L86" s="65" t="s">
        <v>25</v>
      </c>
      <c r="M86" s="27"/>
      <c r="N86" s="65" t="s">
        <v>83</v>
      </c>
      <c r="O86" s="65" t="s">
        <v>136</v>
      </c>
      <c r="P86" s="66"/>
      <c r="Q86" s="65">
        <v>12.04</v>
      </c>
      <c r="R86" s="65"/>
      <c r="S86" s="69" t="s">
        <v>276</v>
      </c>
      <c r="T86" s="70"/>
      <c r="U86" s="70"/>
      <c r="V86" s="49"/>
      <c r="W86" s="70"/>
      <c r="X86" s="70"/>
      <c r="Y86" s="49"/>
      <c r="Z86" s="70"/>
      <c r="AA86" s="70"/>
      <c r="AB86" s="86"/>
      <c r="AC86" s="71">
        <v>44344</v>
      </c>
      <c r="AD86" s="65"/>
      <c r="AE86" s="27"/>
      <c r="AF86" s="65"/>
      <c r="AG86" s="65"/>
    </row>
    <row r="87" spans="1:33" x14ac:dyDescent="0.25">
      <c r="A87" s="68">
        <v>87</v>
      </c>
      <c r="B87" s="71">
        <v>44334</v>
      </c>
      <c r="C87" s="65"/>
      <c r="D87" s="59"/>
      <c r="E87" s="65"/>
      <c r="F87" s="65">
        <v>2202105048</v>
      </c>
      <c r="G87" s="59"/>
      <c r="H87" s="65"/>
      <c r="I87" s="65" t="s">
        <v>445</v>
      </c>
      <c r="J87" s="27"/>
      <c r="K87" s="65" t="s">
        <v>390</v>
      </c>
      <c r="L87" s="65" t="s">
        <v>25</v>
      </c>
      <c r="M87" s="27"/>
      <c r="N87" s="65" t="s">
        <v>83</v>
      </c>
      <c r="O87" s="65" t="s">
        <v>136</v>
      </c>
      <c r="P87" s="66"/>
      <c r="Q87" s="65">
        <v>90</v>
      </c>
      <c r="R87" s="65"/>
      <c r="S87" s="69" t="s">
        <v>276</v>
      </c>
      <c r="T87" s="70"/>
      <c r="U87" s="70"/>
      <c r="V87" s="49"/>
      <c r="W87" s="70"/>
      <c r="X87" s="70"/>
      <c r="Y87" s="49"/>
      <c r="Z87" s="70"/>
      <c r="AA87" s="70"/>
      <c r="AB87" s="86"/>
      <c r="AC87" s="71">
        <v>44344</v>
      </c>
      <c r="AD87" s="65"/>
      <c r="AE87" s="27"/>
      <c r="AF87" s="65"/>
      <c r="AG87" s="65"/>
    </row>
    <row r="88" spans="1:33" x14ac:dyDescent="0.25">
      <c r="A88" s="68">
        <v>88</v>
      </c>
      <c r="B88" s="71">
        <v>44334</v>
      </c>
      <c r="C88" s="65"/>
      <c r="D88" s="59"/>
      <c r="E88" s="65"/>
      <c r="F88" s="65">
        <v>2202103589</v>
      </c>
      <c r="G88" s="59"/>
      <c r="H88" s="65"/>
      <c r="I88" s="65" t="s">
        <v>446</v>
      </c>
      <c r="J88" s="27"/>
      <c r="K88" s="65" t="s">
        <v>447</v>
      </c>
      <c r="L88" s="65" t="s">
        <v>25</v>
      </c>
      <c r="M88" s="27"/>
      <c r="N88" s="65" t="s">
        <v>83</v>
      </c>
      <c r="O88" s="65" t="s">
        <v>136</v>
      </c>
      <c r="P88" s="66"/>
      <c r="Q88" s="65">
        <v>48.4</v>
      </c>
      <c r="R88" s="65"/>
      <c r="S88" s="69" t="s">
        <v>276</v>
      </c>
      <c r="T88" s="70"/>
      <c r="U88" s="70"/>
      <c r="V88" s="49"/>
      <c r="W88" s="70"/>
      <c r="X88" s="70"/>
      <c r="Y88" s="49"/>
      <c r="Z88" s="70"/>
      <c r="AA88" s="70"/>
      <c r="AB88" s="86"/>
      <c r="AC88" s="71">
        <v>44344</v>
      </c>
      <c r="AD88" s="65"/>
      <c r="AE88" s="27"/>
      <c r="AF88" s="65"/>
      <c r="AG88" s="65"/>
    </row>
    <row r="89" spans="1:33" x14ac:dyDescent="0.25">
      <c r="A89" s="68">
        <v>89</v>
      </c>
      <c r="B89" s="71">
        <v>44334</v>
      </c>
      <c r="C89" s="65"/>
      <c r="D89" s="59"/>
      <c r="E89" s="65"/>
      <c r="F89" s="65">
        <v>2202104989</v>
      </c>
      <c r="G89" s="59"/>
      <c r="H89" s="65"/>
      <c r="I89" s="65" t="s">
        <v>448</v>
      </c>
      <c r="J89" s="27"/>
      <c r="K89" s="65" t="s">
        <v>449</v>
      </c>
      <c r="L89" s="65" t="s">
        <v>16</v>
      </c>
      <c r="M89" s="27"/>
      <c r="N89" s="65" t="s">
        <v>83</v>
      </c>
      <c r="O89" s="65" t="s">
        <v>143</v>
      </c>
      <c r="P89" s="66"/>
      <c r="Q89" s="65">
        <v>32</v>
      </c>
      <c r="R89" s="65"/>
      <c r="S89" s="69" t="s">
        <v>276</v>
      </c>
      <c r="T89" s="70"/>
      <c r="U89" s="70"/>
      <c r="V89" s="49"/>
      <c r="W89" s="70"/>
      <c r="X89" s="70"/>
      <c r="Y89" s="49"/>
      <c r="Z89" s="70"/>
      <c r="AA89" s="70"/>
      <c r="AB89" s="86"/>
      <c r="AC89" s="71">
        <v>44344</v>
      </c>
      <c r="AD89" s="65"/>
      <c r="AE89" s="27"/>
      <c r="AF89" s="65"/>
      <c r="AG89" s="65"/>
    </row>
    <row r="90" spans="1:33" x14ac:dyDescent="0.25">
      <c r="A90" s="68">
        <v>90</v>
      </c>
      <c r="B90" s="71">
        <v>44334</v>
      </c>
      <c r="C90" s="65"/>
      <c r="D90" s="59"/>
      <c r="E90" s="65"/>
      <c r="F90" s="65">
        <v>2202104983</v>
      </c>
      <c r="G90" s="59"/>
      <c r="H90" s="65"/>
      <c r="I90" s="65" t="s">
        <v>450</v>
      </c>
      <c r="J90" s="27"/>
      <c r="K90" s="65" t="s">
        <v>451</v>
      </c>
      <c r="L90" s="65" t="s">
        <v>16</v>
      </c>
      <c r="M90" s="27"/>
      <c r="N90" s="65" t="s">
        <v>83</v>
      </c>
      <c r="O90" s="65" t="s">
        <v>143</v>
      </c>
      <c r="P90" s="66"/>
      <c r="Q90" s="65">
        <v>21.78</v>
      </c>
      <c r="R90" s="65"/>
      <c r="S90" s="69" t="s">
        <v>276</v>
      </c>
      <c r="T90" s="70"/>
      <c r="U90" s="70"/>
      <c r="V90" s="49"/>
      <c r="W90" s="70"/>
      <c r="X90" s="70"/>
      <c r="Y90" s="49"/>
      <c r="Z90" s="70"/>
      <c r="AA90" s="70"/>
      <c r="AB90" s="86"/>
      <c r="AC90" s="71">
        <v>44344</v>
      </c>
      <c r="AD90" s="65"/>
      <c r="AE90" s="27"/>
      <c r="AF90" s="65"/>
      <c r="AG90" s="65"/>
    </row>
    <row r="91" spans="1:33" x14ac:dyDescent="0.25">
      <c r="A91" s="68">
        <v>91</v>
      </c>
      <c r="B91" s="71">
        <v>44334</v>
      </c>
      <c r="C91" s="65"/>
      <c r="D91" s="59"/>
      <c r="E91" s="65"/>
      <c r="F91" s="65">
        <v>2202104867</v>
      </c>
      <c r="G91" s="59"/>
      <c r="H91" s="65"/>
      <c r="I91" s="65" t="s">
        <v>452</v>
      </c>
      <c r="J91" s="27"/>
      <c r="K91" s="65" t="s">
        <v>453</v>
      </c>
      <c r="L91" s="65" t="s">
        <v>16</v>
      </c>
      <c r="M91" s="27"/>
      <c r="N91" s="65" t="s">
        <v>83</v>
      </c>
      <c r="O91" s="65" t="s">
        <v>147</v>
      </c>
      <c r="P91" s="66"/>
      <c r="Q91" s="65">
        <v>56.5</v>
      </c>
      <c r="R91" s="65"/>
      <c r="S91" s="69" t="s">
        <v>276</v>
      </c>
      <c r="T91" s="70"/>
      <c r="U91" s="70"/>
      <c r="V91" s="49"/>
      <c r="W91" s="70"/>
      <c r="X91" s="70"/>
      <c r="Y91" s="49"/>
      <c r="Z91" s="70"/>
      <c r="AA91" s="70"/>
      <c r="AB91" s="86"/>
      <c r="AC91" s="71">
        <v>44344</v>
      </c>
      <c r="AD91" s="65"/>
      <c r="AE91" s="27"/>
      <c r="AF91" s="65"/>
      <c r="AG91" s="65"/>
    </row>
    <row r="92" spans="1:33" x14ac:dyDescent="0.25">
      <c r="A92" s="68">
        <v>92</v>
      </c>
      <c r="B92" s="71">
        <v>44334</v>
      </c>
      <c r="C92" s="65"/>
      <c r="D92" s="59"/>
      <c r="E92" s="65"/>
      <c r="F92" s="65">
        <v>1202101203</v>
      </c>
      <c r="G92" s="59"/>
      <c r="H92" s="65"/>
      <c r="I92" s="65" t="s">
        <v>454</v>
      </c>
      <c r="J92" s="27"/>
      <c r="K92" s="65" t="s">
        <v>455</v>
      </c>
      <c r="L92" s="65" t="s">
        <v>16</v>
      </c>
      <c r="M92" s="27"/>
      <c r="N92" s="65" t="s">
        <v>83</v>
      </c>
      <c r="O92" s="65" t="s">
        <v>147</v>
      </c>
      <c r="P92" s="66"/>
      <c r="Q92" s="65">
        <v>114</v>
      </c>
      <c r="R92" s="65"/>
      <c r="S92" s="69" t="s">
        <v>276</v>
      </c>
      <c r="T92" s="70"/>
      <c r="U92" s="70"/>
      <c r="V92" s="49"/>
      <c r="W92" s="70"/>
      <c r="X92" s="70"/>
      <c r="Y92" s="49"/>
      <c r="Z92" s="70"/>
      <c r="AA92" s="70"/>
      <c r="AB92" s="86"/>
      <c r="AC92" s="71">
        <v>44344</v>
      </c>
      <c r="AD92" s="65"/>
      <c r="AE92" s="27"/>
      <c r="AF92" s="65"/>
      <c r="AG92" s="65"/>
    </row>
    <row r="93" spans="1:33" x14ac:dyDescent="0.25">
      <c r="A93" s="68">
        <v>93</v>
      </c>
      <c r="B93" s="71">
        <v>44335</v>
      </c>
      <c r="C93" s="65"/>
      <c r="D93" s="59"/>
      <c r="E93" s="65"/>
      <c r="F93" s="65">
        <v>2202105109</v>
      </c>
      <c r="G93" s="59"/>
      <c r="H93" s="65"/>
      <c r="I93" s="65" t="s">
        <v>456</v>
      </c>
      <c r="J93" s="27"/>
      <c r="K93" s="65" t="s">
        <v>457</v>
      </c>
      <c r="L93" s="65" t="s">
        <v>16</v>
      </c>
      <c r="M93" s="27"/>
      <c r="N93" s="65" t="s">
        <v>83</v>
      </c>
      <c r="O93" s="65" t="s">
        <v>140</v>
      </c>
      <c r="P93" s="66"/>
      <c r="Q93" s="65">
        <v>128</v>
      </c>
      <c r="R93" s="65"/>
      <c r="S93" s="69" t="s">
        <v>276</v>
      </c>
      <c r="T93" s="70"/>
      <c r="U93" s="70"/>
      <c r="V93" s="49"/>
      <c r="W93" s="70"/>
      <c r="X93" s="70"/>
      <c r="Y93" s="49"/>
      <c r="Z93" s="70"/>
      <c r="AA93" s="70"/>
      <c r="AB93" s="86"/>
      <c r="AC93" s="71">
        <v>44344</v>
      </c>
      <c r="AD93" s="65"/>
      <c r="AE93" s="27"/>
      <c r="AF93" s="65"/>
      <c r="AG93" s="65"/>
    </row>
    <row r="94" spans="1:33" x14ac:dyDescent="0.25">
      <c r="A94" s="68">
        <v>94</v>
      </c>
      <c r="B94" s="71">
        <v>44335</v>
      </c>
      <c r="C94" s="65"/>
      <c r="D94" s="59"/>
      <c r="E94" s="65"/>
      <c r="F94" s="65">
        <v>1202101238</v>
      </c>
      <c r="G94" s="59"/>
      <c r="H94" s="65"/>
      <c r="I94" s="65" t="s">
        <v>458</v>
      </c>
      <c r="J94" s="27"/>
      <c r="K94" s="65" t="s">
        <v>388</v>
      </c>
      <c r="L94" s="65" t="s">
        <v>25</v>
      </c>
      <c r="M94" s="27"/>
      <c r="N94" s="65" t="s">
        <v>83</v>
      </c>
      <c r="O94" s="65" t="s">
        <v>136</v>
      </c>
      <c r="P94" s="66"/>
      <c r="Q94" s="65">
        <v>41.34</v>
      </c>
      <c r="R94" s="65"/>
      <c r="S94" s="69" t="s">
        <v>276</v>
      </c>
      <c r="T94" s="70"/>
      <c r="U94" s="70"/>
      <c r="V94" s="49"/>
      <c r="W94" s="70"/>
      <c r="X94" s="70"/>
      <c r="Y94" s="49"/>
      <c r="Z94" s="70"/>
      <c r="AA94" s="70"/>
      <c r="AB94" s="86"/>
      <c r="AC94" s="71">
        <v>44344</v>
      </c>
      <c r="AD94" s="65"/>
      <c r="AE94" s="27"/>
      <c r="AF94" s="65"/>
      <c r="AG94" s="65"/>
    </row>
    <row r="95" spans="1:33" x14ac:dyDescent="0.25">
      <c r="A95" s="68">
        <v>95</v>
      </c>
      <c r="B95" s="71">
        <v>44335</v>
      </c>
      <c r="C95" s="65"/>
      <c r="D95" s="59"/>
      <c r="E95" s="65"/>
      <c r="F95" s="65">
        <v>2202105142</v>
      </c>
      <c r="G95" s="59"/>
      <c r="H95" s="65"/>
      <c r="I95" s="65" t="s">
        <v>459</v>
      </c>
      <c r="J95" s="27"/>
      <c r="K95" s="65" t="s">
        <v>460</v>
      </c>
      <c r="L95" s="65" t="s">
        <v>25</v>
      </c>
      <c r="M95" s="27"/>
      <c r="N95" s="65" t="s">
        <v>83</v>
      </c>
      <c r="O95" s="65" t="s">
        <v>136</v>
      </c>
      <c r="P95" s="66"/>
      <c r="Q95" s="65">
        <v>81.44</v>
      </c>
      <c r="R95" s="65"/>
      <c r="S95" s="69" t="s">
        <v>276</v>
      </c>
      <c r="T95" s="70"/>
      <c r="U95" s="70"/>
      <c r="V95" s="49"/>
      <c r="W95" s="70"/>
      <c r="X95" s="70"/>
      <c r="Y95" s="49"/>
      <c r="Z95" s="70"/>
      <c r="AA95" s="70"/>
      <c r="AB95" s="86"/>
      <c r="AC95" s="71">
        <v>44344</v>
      </c>
      <c r="AD95" s="65"/>
      <c r="AE95" s="27"/>
      <c r="AF95" s="65"/>
      <c r="AG95" s="65"/>
    </row>
    <row r="96" spans="1:33" x14ac:dyDescent="0.25">
      <c r="A96" s="68">
        <v>96</v>
      </c>
      <c r="B96" s="71">
        <v>44335</v>
      </c>
      <c r="C96" s="65"/>
      <c r="D96" s="59"/>
      <c r="E96" s="65"/>
      <c r="F96" s="65">
        <v>1202101235</v>
      </c>
      <c r="G96" s="59"/>
      <c r="H96" s="65"/>
      <c r="I96" s="65" t="s">
        <v>458</v>
      </c>
      <c r="J96" s="27"/>
      <c r="K96" s="65" t="s">
        <v>388</v>
      </c>
      <c r="L96" s="65" t="s">
        <v>25</v>
      </c>
      <c r="M96" s="27"/>
      <c r="N96" s="65" t="s">
        <v>83</v>
      </c>
      <c r="O96" s="65" t="s">
        <v>136</v>
      </c>
      <c r="P96" s="66"/>
      <c r="Q96" s="65">
        <v>33.880000000000003</v>
      </c>
      <c r="R96" s="65"/>
      <c r="S96" s="69" t="s">
        <v>276</v>
      </c>
      <c r="T96" s="70"/>
      <c r="U96" s="70"/>
      <c r="V96" s="49"/>
      <c r="W96" s="70"/>
      <c r="X96" s="70"/>
      <c r="Y96" s="49"/>
      <c r="Z96" s="70"/>
      <c r="AA96" s="70"/>
      <c r="AB96" s="86"/>
      <c r="AC96" s="71">
        <v>44344</v>
      </c>
      <c r="AD96" s="65"/>
      <c r="AE96" s="27"/>
      <c r="AF96" s="65"/>
      <c r="AG96" s="65"/>
    </row>
    <row r="97" spans="1:33" x14ac:dyDescent="0.25">
      <c r="A97" s="68">
        <v>97</v>
      </c>
      <c r="B97" s="71">
        <v>44335</v>
      </c>
      <c r="C97" s="65"/>
      <c r="D97" s="59"/>
      <c r="E97" s="65"/>
      <c r="F97" s="65">
        <v>2202105118</v>
      </c>
      <c r="G97" s="59"/>
      <c r="H97" s="65"/>
      <c r="I97" s="65" t="s">
        <v>461</v>
      </c>
      <c r="J97" s="27"/>
      <c r="K97" s="65" t="s">
        <v>462</v>
      </c>
      <c r="L97" s="65" t="s">
        <v>463</v>
      </c>
      <c r="M97" s="27"/>
      <c r="N97" s="65" t="s">
        <v>83</v>
      </c>
      <c r="O97" s="65" t="s">
        <v>136</v>
      </c>
      <c r="P97" s="66"/>
      <c r="Q97" s="65">
        <v>31.55</v>
      </c>
      <c r="R97" s="65"/>
      <c r="S97" s="69" t="s">
        <v>276</v>
      </c>
      <c r="T97" s="70"/>
      <c r="U97" s="70"/>
      <c r="V97" s="49"/>
      <c r="W97" s="70"/>
      <c r="X97" s="70"/>
      <c r="Y97" s="49"/>
      <c r="Z97" s="70"/>
      <c r="AA97" s="70"/>
      <c r="AB97" s="86"/>
      <c r="AC97" s="71">
        <v>44344</v>
      </c>
      <c r="AD97" s="65"/>
      <c r="AE97" s="27"/>
      <c r="AF97" s="65"/>
      <c r="AG97" s="65"/>
    </row>
    <row r="98" spans="1:33" x14ac:dyDescent="0.25">
      <c r="A98" s="68">
        <v>98</v>
      </c>
      <c r="B98" s="71">
        <v>44335</v>
      </c>
      <c r="C98" s="65"/>
      <c r="D98" s="59"/>
      <c r="E98" s="65"/>
      <c r="F98" s="65">
        <v>1202101232</v>
      </c>
      <c r="G98" s="59"/>
      <c r="H98" s="65"/>
      <c r="I98" s="65" t="s">
        <v>464</v>
      </c>
      <c r="J98" s="27"/>
      <c r="K98" s="65" t="s">
        <v>388</v>
      </c>
      <c r="L98" s="65" t="s">
        <v>25</v>
      </c>
      <c r="M98" s="27"/>
      <c r="N98" s="65" t="s">
        <v>83</v>
      </c>
      <c r="O98" s="65" t="s">
        <v>136</v>
      </c>
      <c r="P98" s="66"/>
      <c r="Q98" s="65">
        <v>13.14</v>
      </c>
      <c r="R98" s="65"/>
      <c r="S98" s="69" t="s">
        <v>276</v>
      </c>
      <c r="T98" s="70"/>
      <c r="U98" s="70"/>
      <c r="V98" s="49"/>
      <c r="W98" s="70"/>
      <c r="X98" s="70"/>
      <c r="Y98" s="49"/>
      <c r="Z98" s="70"/>
      <c r="AA98" s="70"/>
      <c r="AB98" s="86"/>
      <c r="AC98" s="71">
        <v>44344</v>
      </c>
      <c r="AD98" s="65"/>
      <c r="AE98" s="27"/>
      <c r="AF98" s="65"/>
      <c r="AG98" s="65"/>
    </row>
    <row r="99" spans="1:33" x14ac:dyDescent="0.25">
      <c r="A99" s="68">
        <v>99</v>
      </c>
      <c r="B99" s="71">
        <v>44335</v>
      </c>
      <c r="C99" s="65"/>
      <c r="D99" s="59"/>
      <c r="E99" s="65"/>
      <c r="F99" s="65">
        <v>1202101239</v>
      </c>
      <c r="G99" s="59"/>
      <c r="H99" s="65"/>
      <c r="I99" s="65" t="s">
        <v>458</v>
      </c>
      <c r="J99" s="27"/>
      <c r="K99" s="65" t="s">
        <v>388</v>
      </c>
      <c r="L99" s="65" t="s">
        <v>25</v>
      </c>
      <c r="M99" s="27"/>
      <c r="N99" s="65" t="s">
        <v>83</v>
      </c>
      <c r="O99" s="65" t="s">
        <v>136</v>
      </c>
      <c r="P99" s="66"/>
      <c r="Q99" s="65">
        <v>19.36</v>
      </c>
      <c r="R99" s="65"/>
      <c r="S99" s="69" t="s">
        <v>276</v>
      </c>
      <c r="T99" s="70"/>
      <c r="U99" s="70"/>
      <c r="V99" s="49"/>
      <c r="W99" s="70"/>
      <c r="X99" s="70"/>
      <c r="Y99" s="49"/>
      <c r="Z99" s="70"/>
      <c r="AA99" s="70"/>
      <c r="AB99" s="86"/>
      <c r="AC99" s="71">
        <v>44344</v>
      </c>
      <c r="AD99" s="65"/>
      <c r="AE99" s="27"/>
      <c r="AF99" s="65"/>
      <c r="AG99" s="65"/>
    </row>
    <row r="100" spans="1:33" x14ac:dyDescent="0.25">
      <c r="A100" s="68">
        <v>100</v>
      </c>
      <c r="B100" s="71">
        <v>44335</v>
      </c>
      <c r="C100" s="65"/>
      <c r="D100" s="59"/>
      <c r="E100" s="65"/>
      <c r="F100" s="65">
        <v>2202105043</v>
      </c>
      <c r="G100" s="59"/>
      <c r="H100" s="65"/>
      <c r="I100" s="65" t="s">
        <v>445</v>
      </c>
      <c r="J100" s="27"/>
      <c r="K100" s="65" t="s">
        <v>465</v>
      </c>
      <c r="L100" s="65" t="s">
        <v>25</v>
      </c>
      <c r="M100" s="27"/>
      <c r="N100" s="65" t="s">
        <v>83</v>
      </c>
      <c r="O100" s="65" t="s">
        <v>136</v>
      </c>
      <c r="P100" s="66"/>
      <c r="Q100" s="65">
        <v>164.56</v>
      </c>
      <c r="R100" s="65"/>
      <c r="S100" s="69" t="s">
        <v>276</v>
      </c>
      <c r="T100" s="70"/>
      <c r="U100" s="70"/>
      <c r="V100" s="49"/>
      <c r="W100" s="70"/>
      <c r="X100" s="70"/>
      <c r="Y100" s="49"/>
      <c r="Z100" s="70"/>
      <c r="AA100" s="70"/>
      <c r="AB100" s="86"/>
      <c r="AC100" s="71">
        <v>44344</v>
      </c>
      <c r="AD100" s="65"/>
      <c r="AE100" s="27"/>
      <c r="AF100" s="65"/>
      <c r="AG100" s="65"/>
    </row>
    <row r="101" spans="1:33" x14ac:dyDescent="0.25">
      <c r="A101" s="68">
        <v>101</v>
      </c>
      <c r="B101" s="71">
        <v>44335</v>
      </c>
      <c r="C101" s="65"/>
      <c r="D101" s="59"/>
      <c r="E101" s="65"/>
      <c r="F101" s="65">
        <v>1202101233</v>
      </c>
      <c r="G101" s="59"/>
      <c r="H101" s="65"/>
      <c r="I101" s="65" t="s">
        <v>464</v>
      </c>
      <c r="J101" s="27"/>
      <c r="K101" s="65" t="s">
        <v>388</v>
      </c>
      <c r="L101" s="65" t="s">
        <v>25</v>
      </c>
      <c r="M101" s="27"/>
      <c r="N101" s="65" t="s">
        <v>83</v>
      </c>
      <c r="O101" s="65" t="s">
        <v>136</v>
      </c>
      <c r="P101" s="66"/>
      <c r="Q101" s="65">
        <v>12.1</v>
      </c>
      <c r="R101" s="65"/>
      <c r="S101" s="69" t="s">
        <v>276</v>
      </c>
      <c r="T101" s="70"/>
      <c r="U101" s="70"/>
      <c r="V101" s="49"/>
      <c r="W101" s="70"/>
      <c r="X101" s="70"/>
      <c r="Y101" s="49"/>
      <c r="Z101" s="70"/>
      <c r="AA101" s="70"/>
      <c r="AB101" s="86"/>
      <c r="AC101" s="71">
        <v>44344</v>
      </c>
      <c r="AD101" s="65"/>
      <c r="AE101" s="27"/>
      <c r="AF101" s="65"/>
      <c r="AG101" s="65"/>
    </row>
    <row r="102" spans="1:33" x14ac:dyDescent="0.25">
      <c r="A102" s="68">
        <v>102</v>
      </c>
      <c r="B102" s="71">
        <v>44335</v>
      </c>
      <c r="C102" s="65"/>
      <c r="D102" s="59"/>
      <c r="E102" s="65"/>
      <c r="F102" s="65">
        <v>2202105034</v>
      </c>
      <c r="G102" s="59"/>
      <c r="H102" s="65"/>
      <c r="I102" s="65" t="s">
        <v>458</v>
      </c>
      <c r="J102" s="27"/>
      <c r="K102" s="65" t="s">
        <v>388</v>
      </c>
      <c r="L102" s="65" t="s">
        <v>25</v>
      </c>
      <c r="M102" s="27"/>
      <c r="N102" s="65" t="s">
        <v>83</v>
      </c>
      <c r="O102" s="65" t="s">
        <v>136</v>
      </c>
      <c r="P102" s="66"/>
      <c r="Q102" s="65">
        <v>35.01</v>
      </c>
      <c r="R102" s="65"/>
      <c r="S102" s="69" t="s">
        <v>276</v>
      </c>
      <c r="T102" s="70"/>
      <c r="U102" s="70"/>
      <c r="V102" s="49"/>
      <c r="W102" s="70"/>
      <c r="X102" s="70"/>
      <c r="Y102" s="49"/>
      <c r="Z102" s="70"/>
      <c r="AA102" s="70"/>
      <c r="AB102" s="86"/>
      <c r="AC102" s="71">
        <v>44344</v>
      </c>
      <c r="AD102" s="65"/>
      <c r="AE102" s="27"/>
      <c r="AF102" s="65"/>
      <c r="AG102" s="65"/>
    </row>
    <row r="103" spans="1:33" x14ac:dyDescent="0.25">
      <c r="A103" s="68">
        <v>103</v>
      </c>
      <c r="B103" s="71">
        <v>44335</v>
      </c>
      <c r="C103" s="65"/>
      <c r="D103" s="59"/>
      <c r="E103" s="65"/>
      <c r="F103" s="65">
        <v>1202101237</v>
      </c>
      <c r="G103" s="59"/>
      <c r="H103" s="65"/>
      <c r="I103" s="65" t="s">
        <v>458</v>
      </c>
      <c r="J103" s="27"/>
      <c r="K103" s="65" t="s">
        <v>388</v>
      </c>
      <c r="L103" s="65" t="s">
        <v>25</v>
      </c>
      <c r="M103" s="27"/>
      <c r="N103" s="65" t="s">
        <v>83</v>
      </c>
      <c r="O103" s="65" t="s">
        <v>136</v>
      </c>
      <c r="P103" s="66"/>
      <c r="Q103" s="65">
        <v>36.21</v>
      </c>
      <c r="R103" s="65"/>
      <c r="S103" s="69" t="s">
        <v>276</v>
      </c>
      <c r="T103" s="70"/>
      <c r="U103" s="70"/>
      <c r="V103" s="49"/>
      <c r="W103" s="70"/>
      <c r="X103" s="70"/>
      <c r="Y103" s="49"/>
      <c r="Z103" s="70"/>
      <c r="AA103" s="70"/>
      <c r="AB103" s="86"/>
      <c r="AC103" s="71">
        <v>44344</v>
      </c>
      <c r="AD103" s="65"/>
      <c r="AE103" s="27"/>
      <c r="AF103" s="65"/>
      <c r="AG103" s="65"/>
    </row>
    <row r="104" spans="1:33" x14ac:dyDescent="0.25">
      <c r="A104" s="68">
        <v>104</v>
      </c>
      <c r="B104" s="71">
        <v>44335</v>
      </c>
      <c r="C104" s="65"/>
      <c r="D104" s="59"/>
      <c r="E104" s="65"/>
      <c r="F104" s="65">
        <v>2202105122</v>
      </c>
      <c r="G104" s="59"/>
      <c r="H104" s="65"/>
      <c r="I104" s="65" t="s">
        <v>466</v>
      </c>
      <c r="J104" s="27"/>
      <c r="K104" s="65" t="s">
        <v>467</v>
      </c>
      <c r="L104" s="65" t="s">
        <v>16</v>
      </c>
      <c r="M104" s="27"/>
      <c r="N104" s="65" t="s">
        <v>83</v>
      </c>
      <c r="O104" s="65" t="s">
        <v>147</v>
      </c>
      <c r="P104" s="66"/>
      <c r="Q104" s="65">
        <v>25</v>
      </c>
      <c r="R104" s="65"/>
      <c r="S104" s="69" t="s">
        <v>276</v>
      </c>
      <c r="T104" s="70"/>
      <c r="U104" s="70"/>
      <c r="V104" s="49"/>
      <c r="W104" s="70"/>
      <c r="X104" s="70"/>
      <c r="Y104" s="49"/>
      <c r="Z104" s="70"/>
      <c r="AA104" s="70"/>
      <c r="AB104" s="86"/>
      <c r="AC104" s="71">
        <v>44344</v>
      </c>
      <c r="AD104" s="65"/>
      <c r="AE104" s="27"/>
      <c r="AF104" s="65"/>
      <c r="AG104" s="65"/>
    </row>
    <row r="105" spans="1:33" x14ac:dyDescent="0.25">
      <c r="A105" s="68">
        <v>105</v>
      </c>
      <c r="B105" s="71">
        <v>44335</v>
      </c>
      <c r="C105" s="65"/>
      <c r="D105" s="59"/>
      <c r="E105" s="65"/>
      <c r="F105" s="65">
        <v>2202105297</v>
      </c>
      <c r="G105" s="59"/>
      <c r="H105" s="65"/>
      <c r="I105" s="65" t="s">
        <v>468</v>
      </c>
      <c r="J105" s="27"/>
      <c r="K105" s="65" t="s">
        <v>437</v>
      </c>
      <c r="L105" s="65" t="s">
        <v>9</v>
      </c>
      <c r="M105" s="27"/>
      <c r="N105" s="65" t="s">
        <v>83</v>
      </c>
      <c r="O105" s="65" t="s">
        <v>362</v>
      </c>
      <c r="P105" s="66"/>
      <c r="Q105" s="65">
        <v>25</v>
      </c>
      <c r="R105" s="65"/>
      <c r="S105" s="69" t="s">
        <v>276</v>
      </c>
      <c r="T105" s="70"/>
      <c r="U105" s="70"/>
      <c r="V105" s="49"/>
      <c r="W105" s="70"/>
      <c r="X105" s="70"/>
      <c r="Y105" s="49"/>
      <c r="Z105" s="70"/>
      <c r="AA105" s="70"/>
      <c r="AB105" s="86"/>
      <c r="AC105" s="71">
        <v>44344</v>
      </c>
      <c r="AD105" s="65"/>
      <c r="AE105" s="27"/>
      <c r="AF105" s="65"/>
      <c r="AG105" s="65"/>
    </row>
    <row r="106" spans="1:33" x14ac:dyDescent="0.25">
      <c r="A106" s="68">
        <v>106</v>
      </c>
      <c r="B106" s="71">
        <v>44335</v>
      </c>
      <c r="C106" s="65"/>
      <c r="D106" s="59"/>
      <c r="E106" s="65"/>
      <c r="F106" s="65">
        <v>2202105289</v>
      </c>
      <c r="G106" s="59"/>
      <c r="H106" s="65"/>
      <c r="I106" s="65" t="s">
        <v>468</v>
      </c>
      <c r="J106" s="27"/>
      <c r="K106" s="65" t="s">
        <v>437</v>
      </c>
      <c r="L106" s="65" t="s">
        <v>9</v>
      </c>
      <c r="M106" s="27"/>
      <c r="N106" s="65" t="s">
        <v>83</v>
      </c>
      <c r="O106" s="65" t="s">
        <v>362</v>
      </c>
      <c r="P106" s="66"/>
      <c r="Q106" s="65">
        <v>80</v>
      </c>
      <c r="R106" s="65"/>
      <c r="S106" s="69" t="s">
        <v>276</v>
      </c>
      <c r="T106" s="70"/>
      <c r="U106" s="70"/>
      <c r="V106" s="49"/>
      <c r="W106" s="70"/>
      <c r="X106" s="70"/>
      <c r="Y106" s="49"/>
      <c r="Z106" s="70"/>
      <c r="AA106" s="70"/>
      <c r="AB106" s="86"/>
      <c r="AC106" s="71">
        <v>44344</v>
      </c>
      <c r="AD106" s="65"/>
      <c r="AE106" s="27"/>
      <c r="AF106" s="65"/>
      <c r="AG106" s="65"/>
    </row>
    <row r="107" spans="1:33" x14ac:dyDescent="0.25">
      <c r="A107" s="68">
        <v>107</v>
      </c>
      <c r="B107" s="71">
        <v>44335</v>
      </c>
      <c r="C107" s="65"/>
      <c r="D107" s="59"/>
      <c r="E107" s="65"/>
      <c r="F107" s="65">
        <v>2202105250</v>
      </c>
      <c r="G107" s="59"/>
      <c r="H107" s="65"/>
      <c r="I107" s="65" t="s">
        <v>469</v>
      </c>
      <c r="J107" s="27"/>
      <c r="K107" s="65" t="s">
        <v>356</v>
      </c>
      <c r="L107" s="65" t="s">
        <v>9</v>
      </c>
      <c r="M107" s="27"/>
      <c r="N107" s="65" t="s">
        <v>83</v>
      </c>
      <c r="O107" s="65" t="s">
        <v>133</v>
      </c>
      <c r="P107" s="66"/>
      <c r="Q107" s="65">
        <v>76</v>
      </c>
      <c r="R107" s="65"/>
      <c r="S107" s="69" t="s">
        <v>276</v>
      </c>
      <c r="T107" s="70"/>
      <c r="U107" s="70"/>
      <c r="V107" s="49"/>
      <c r="W107" s="70"/>
      <c r="X107" s="70"/>
      <c r="Y107" s="49"/>
      <c r="Z107" s="70"/>
      <c r="AA107" s="70"/>
      <c r="AB107" s="86"/>
      <c r="AC107" s="71">
        <v>44344</v>
      </c>
      <c r="AD107" s="65"/>
      <c r="AE107" s="27"/>
      <c r="AF107" s="65"/>
      <c r="AG107" s="65"/>
    </row>
    <row r="108" spans="1:33" x14ac:dyDescent="0.25">
      <c r="A108" s="68">
        <v>108</v>
      </c>
      <c r="B108" s="71">
        <v>44335</v>
      </c>
      <c r="C108" s="65"/>
      <c r="D108" s="59"/>
      <c r="E108" s="65"/>
      <c r="F108" s="65">
        <v>2202105330</v>
      </c>
      <c r="G108" s="59"/>
      <c r="H108" s="65"/>
      <c r="I108" s="65" t="s">
        <v>470</v>
      </c>
      <c r="J108" s="27"/>
      <c r="K108" s="65" t="s">
        <v>471</v>
      </c>
      <c r="L108" s="65" t="s">
        <v>25</v>
      </c>
      <c r="M108" s="27"/>
      <c r="N108" s="65" t="s">
        <v>83</v>
      </c>
      <c r="O108" s="65" t="s">
        <v>136</v>
      </c>
      <c r="P108" s="66"/>
      <c r="Q108" s="65">
        <v>16.2</v>
      </c>
      <c r="R108" s="65"/>
      <c r="S108" s="69" t="s">
        <v>276</v>
      </c>
      <c r="T108" s="70"/>
      <c r="U108" s="70"/>
      <c r="V108" s="49"/>
      <c r="W108" s="70"/>
      <c r="X108" s="70"/>
      <c r="Y108" s="49"/>
      <c r="Z108" s="70"/>
      <c r="AA108" s="70"/>
      <c r="AB108" s="86"/>
      <c r="AC108" s="71">
        <v>44344</v>
      </c>
      <c r="AD108" s="65"/>
      <c r="AE108" s="27"/>
      <c r="AF108" s="65"/>
      <c r="AG108" s="65"/>
    </row>
    <row r="109" spans="1:33" x14ac:dyDescent="0.25">
      <c r="A109" s="68">
        <v>109</v>
      </c>
      <c r="B109" s="71">
        <v>44335</v>
      </c>
      <c r="C109" s="65"/>
      <c r="D109" s="59"/>
      <c r="E109" s="65"/>
      <c r="F109" s="65">
        <v>2202105318</v>
      </c>
      <c r="G109" s="59"/>
      <c r="H109" s="65"/>
      <c r="I109" s="65" t="s">
        <v>472</v>
      </c>
      <c r="J109" s="27"/>
      <c r="K109" s="65" t="s">
        <v>471</v>
      </c>
      <c r="L109" s="65" t="s">
        <v>25</v>
      </c>
      <c r="M109" s="27"/>
      <c r="N109" s="65" t="s">
        <v>83</v>
      </c>
      <c r="O109" s="65" t="s">
        <v>136</v>
      </c>
      <c r="P109" s="66"/>
      <c r="Q109" s="65">
        <v>56.2</v>
      </c>
      <c r="R109" s="65"/>
      <c r="S109" s="69" t="s">
        <v>276</v>
      </c>
      <c r="T109" s="70"/>
      <c r="U109" s="70"/>
      <c r="V109" s="49"/>
      <c r="W109" s="70"/>
      <c r="X109" s="70"/>
      <c r="Y109" s="49"/>
      <c r="Z109" s="70"/>
      <c r="AA109" s="70"/>
      <c r="AB109" s="86"/>
      <c r="AC109" s="71">
        <v>44344</v>
      </c>
      <c r="AD109" s="65"/>
      <c r="AE109" s="27"/>
      <c r="AF109" s="65"/>
      <c r="AG109" s="65"/>
    </row>
    <row r="110" spans="1:33" x14ac:dyDescent="0.25">
      <c r="A110" s="68">
        <v>110</v>
      </c>
      <c r="B110" s="71">
        <v>44336</v>
      </c>
      <c r="C110" s="65"/>
      <c r="D110" s="59"/>
      <c r="E110" s="65"/>
      <c r="F110" s="65">
        <v>2202105128</v>
      </c>
      <c r="G110" s="59"/>
      <c r="H110" s="65"/>
      <c r="I110" s="65" t="s">
        <v>473</v>
      </c>
      <c r="J110" s="27"/>
      <c r="K110" s="65" t="s">
        <v>359</v>
      </c>
      <c r="L110" s="65" t="s">
        <v>12</v>
      </c>
      <c r="M110" s="27"/>
      <c r="N110" s="65" t="s">
        <v>83</v>
      </c>
      <c r="O110" s="65" t="s">
        <v>474</v>
      </c>
      <c r="P110" s="66"/>
      <c r="Q110" s="65">
        <v>112</v>
      </c>
      <c r="R110" s="65"/>
      <c r="S110" s="69" t="s">
        <v>276</v>
      </c>
      <c r="T110" s="70"/>
      <c r="U110" s="70"/>
      <c r="V110" s="49"/>
      <c r="W110" s="70"/>
      <c r="X110" s="70"/>
      <c r="Y110" s="49"/>
      <c r="Z110" s="70"/>
      <c r="AA110" s="70"/>
      <c r="AB110" s="86"/>
      <c r="AC110" s="71">
        <v>44344</v>
      </c>
      <c r="AD110" s="65"/>
      <c r="AE110" s="27"/>
      <c r="AF110" s="65"/>
      <c r="AG110" s="65"/>
    </row>
    <row r="111" spans="1:33" x14ac:dyDescent="0.25">
      <c r="A111" s="68">
        <v>111</v>
      </c>
      <c r="B111" s="71">
        <v>44336</v>
      </c>
      <c r="C111" s="65"/>
      <c r="D111" s="59"/>
      <c r="E111" s="65"/>
      <c r="F111" s="65">
        <v>2202105057</v>
      </c>
      <c r="G111" s="59"/>
      <c r="H111" s="65"/>
      <c r="I111" s="65" t="s">
        <v>475</v>
      </c>
      <c r="J111" s="27"/>
      <c r="K111" s="65" t="s">
        <v>359</v>
      </c>
      <c r="L111" s="65" t="s">
        <v>12</v>
      </c>
      <c r="M111" s="27"/>
      <c r="N111" s="65" t="s">
        <v>83</v>
      </c>
      <c r="O111" s="65" t="s">
        <v>474</v>
      </c>
      <c r="P111" s="66"/>
      <c r="Q111" s="65">
        <v>70</v>
      </c>
      <c r="R111" s="65"/>
      <c r="S111" s="69" t="s">
        <v>276</v>
      </c>
      <c r="T111" s="70"/>
      <c r="U111" s="70"/>
      <c r="V111" s="49"/>
      <c r="W111" s="70"/>
      <c r="X111" s="70"/>
      <c r="Y111" s="49"/>
      <c r="Z111" s="70"/>
      <c r="AA111" s="70"/>
      <c r="AB111" s="86"/>
      <c r="AC111" s="71">
        <v>44344</v>
      </c>
      <c r="AD111" s="65"/>
      <c r="AE111" s="27"/>
      <c r="AF111" s="65"/>
      <c r="AG111" s="65"/>
    </row>
    <row r="112" spans="1:33" x14ac:dyDescent="0.25">
      <c r="A112" s="68">
        <v>112</v>
      </c>
      <c r="B112" s="71">
        <v>44336</v>
      </c>
      <c r="C112" s="65"/>
      <c r="D112" s="59"/>
      <c r="E112" s="65"/>
      <c r="F112" s="65">
        <v>2202105421</v>
      </c>
      <c r="G112" s="59"/>
      <c r="H112" s="65"/>
      <c r="I112" s="65" t="s">
        <v>476</v>
      </c>
      <c r="J112" s="27"/>
      <c r="K112" s="65" t="s">
        <v>477</v>
      </c>
      <c r="L112" s="65" t="s">
        <v>9</v>
      </c>
      <c r="M112" s="27"/>
      <c r="N112" s="65" t="s">
        <v>83</v>
      </c>
      <c r="O112" s="65" t="s">
        <v>478</v>
      </c>
      <c r="P112" s="66"/>
      <c r="Q112" s="65">
        <v>50</v>
      </c>
      <c r="R112" s="65"/>
      <c r="S112" s="69" t="s">
        <v>276</v>
      </c>
      <c r="T112" s="70"/>
      <c r="U112" s="70"/>
      <c r="V112" s="49"/>
      <c r="W112" s="70"/>
      <c r="X112" s="70"/>
      <c r="Y112" s="49"/>
      <c r="Z112" s="70"/>
      <c r="AA112" s="70"/>
      <c r="AB112" s="86"/>
      <c r="AC112" s="71">
        <v>44344</v>
      </c>
      <c r="AD112" s="65"/>
      <c r="AE112" s="27"/>
      <c r="AF112" s="65"/>
      <c r="AG112" s="65"/>
    </row>
    <row r="113" spans="1:33" x14ac:dyDescent="0.25">
      <c r="A113" s="68">
        <v>113</v>
      </c>
      <c r="B113" s="71">
        <v>44336</v>
      </c>
      <c r="C113" s="65"/>
      <c r="D113" s="59"/>
      <c r="E113" s="65"/>
      <c r="F113" s="65">
        <v>2202105389</v>
      </c>
      <c r="G113" s="59"/>
      <c r="H113" s="65"/>
      <c r="I113" s="65" t="s">
        <v>479</v>
      </c>
      <c r="J113" s="27"/>
      <c r="K113" s="65" t="s">
        <v>379</v>
      </c>
      <c r="L113" s="65" t="s">
        <v>9</v>
      </c>
      <c r="M113" s="27"/>
      <c r="N113" s="65" t="s">
        <v>83</v>
      </c>
      <c r="O113" s="65" t="s">
        <v>478</v>
      </c>
      <c r="P113" s="66"/>
      <c r="Q113" s="65">
        <v>82.28</v>
      </c>
      <c r="R113" s="65"/>
      <c r="S113" s="69" t="s">
        <v>276</v>
      </c>
      <c r="T113" s="70"/>
      <c r="U113" s="70"/>
      <c r="V113" s="49"/>
      <c r="W113" s="70"/>
      <c r="X113" s="70"/>
      <c r="Y113" s="49"/>
      <c r="Z113" s="70"/>
      <c r="AA113" s="70"/>
      <c r="AB113" s="86"/>
      <c r="AC113" s="71">
        <v>44344</v>
      </c>
      <c r="AD113" s="65"/>
      <c r="AE113" s="27"/>
      <c r="AF113" s="65"/>
      <c r="AG113" s="65"/>
    </row>
    <row r="114" spans="1:33" x14ac:dyDescent="0.25">
      <c r="A114" s="68">
        <v>114</v>
      </c>
      <c r="B114" s="71">
        <v>44336</v>
      </c>
      <c r="C114" s="65"/>
      <c r="D114" s="59"/>
      <c r="E114" s="65"/>
      <c r="F114" s="65">
        <v>2202105464</v>
      </c>
      <c r="G114" s="59"/>
      <c r="H114" s="65"/>
      <c r="I114" s="65" t="s">
        <v>480</v>
      </c>
      <c r="J114" s="27"/>
      <c r="K114" s="65" t="s">
        <v>481</v>
      </c>
      <c r="L114" s="65" t="s">
        <v>9</v>
      </c>
      <c r="M114" s="27"/>
      <c r="N114" s="65" t="s">
        <v>83</v>
      </c>
      <c r="O114" s="65" t="s">
        <v>478</v>
      </c>
      <c r="P114" s="66"/>
      <c r="Q114" s="65">
        <v>21</v>
      </c>
      <c r="R114" s="65"/>
      <c r="S114" s="69" t="s">
        <v>276</v>
      </c>
      <c r="T114" s="70"/>
      <c r="U114" s="70"/>
      <c r="V114" s="49"/>
      <c r="W114" s="70"/>
      <c r="X114" s="70"/>
      <c r="Y114" s="49"/>
      <c r="Z114" s="70"/>
      <c r="AA114" s="70"/>
      <c r="AB114" s="86"/>
      <c r="AC114" s="71">
        <v>44344</v>
      </c>
      <c r="AD114" s="65"/>
      <c r="AE114" s="27"/>
      <c r="AF114" s="65"/>
      <c r="AG114" s="65"/>
    </row>
    <row r="115" spans="1:33" x14ac:dyDescent="0.25">
      <c r="A115" s="68">
        <v>115</v>
      </c>
      <c r="B115" s="71">
        <v>44336</v>
      </c>
      <c r="C115" s="65"/>
      <c r="D115" s="59"/>
      <c r="E115" s="65"/>
      <c r="F115" s="65">
        <v>2202105391</v>
      </c>
      <c r="G115" s="59"/>
      <c r="H115" s="65"/>
      <c r="I115" s="65" t="s">
        <v>482</v>
      </c>
      <c r="J115" s="27"/>
      <c r="K115" s="65" t="s">
        <v>379</v>
      </c>
      <c r="L115" s="65" t="s">
        <v>9</v>
      </c>
      <c r="M115" s="27"/>
      <c r="N115" s="65" t="s">
        <v>83</v>
      </c>
      <c r="O115" s="65" t="s">
        <v>478</v>
      </c>
      <c r="P115" s="66"/>
      <c r="Q115" s="65">
        <v>60</v>
      </c>
      <c r="R115" s="65"/>
      <c r="S115" s="69" t="s">
        <v>276</v>
      </c>
      <c r="T115" s="70"/>
      <c r="U115" s="70"/>
      <c r="V115" s="49"/>
      <c r="W115" s="70"/>
      <c r="X115" s="70"/>
      <c r="Y115" s="49"/>
      <c r="Z115" s="70"/>
      <c r="AA115" s="70"/>
      <c r="AB115" s="86"/>
      <c r="AC115" s="71">
        <v>44344</v>
      </c>
      <c r="AD115" s="65"/>
      <c r="AE115" s="27"/>
      <c r="AF115" s="65"/>
      <c r="AG115" s="65"/>
    </row>
    <row r="116" spans="1:33" x14ac:dyDescent="0.25">
      <c r="A116" s="68">
        <v>116</v>
      </c>
      <c r="B116" s="71">
        <v>44336</v>
      </c>
      <c r="C116" s="65"/>
      <c r="D116" s="59"/>
      <c r="E116" s="65"/>
      <c r="F116" s="65">
        <v>2202105465</v>
      </c>
      <c r="G116" s="59"/>
      <c r="H116" s="65"/>
      <c r="I116" s="65" t="s">
        <v>483</v>
      </c>
      <c r="J116" s="27"/>
      <c r="K116" s="65" t="s">
        <v>481</v>
      </c>
      <c r="L116" s="65" t="s">
        <v>9</v>
      </c>
      <c r="M116" s="27"/>
      <c r="N116" s="65" t="s">
        <v>83</v>
      </c>
      <c r="O116" s="65" t="s">
        <v>478</v>
      </c>
      <c r="P116" s="66"/>
      <c r="Q116" s="65">
        <v>37</v>
      </c>
      <c r="R116" s="65"/>
      <c r="S116" s="69" t="s">
        <v>276</v>
      </c>
      <c r="T116" s="70"/>
      <c r="U116" s="70"/>
      <c r="V116" s="49"/>
      <c r="W116" s="70"/>
      <c r="X116" s="70"/>
      <c r="Y116" s="49"/>
      <c r="Z116" s="70"/>
      <c r="AA116" s="70"/>
      <c r="AB116" s="86"/>
      <c r="AC116" s="71">
        <v>44344</v>
      </c>
      <c r="AD116" s="65"/>
      <c r="AE116" s="27"/>
      <c r="AF116" s="65"/>
      <c r="AG116" s="65"/>
    </row>
    <row r="117" spans="1:33" x14ac:dyDescent="0.25">
      <c r="A117" s="68">
        <v>117</v>
      </c>
      <c r="B117" s="71">
        <v>44336</v>
      </c>
      <c r="C117" s="65"/>
      <c r="D117" s="59"/>
      <c r="E117" s="65"/>
      <c r="F117" s="65">
        <v>2202105393</v>
      </c>
      <c r="G117" s="59"/>
      <c r="H117" s="65"/>
      <c r="I117" s="65" t="s">
        <v>482</v>
      </c>
      <c r="J117" s="27"/>
      <c r="K117" s="65" t="s">
        <v>379</v>
      </c>
      <c r="L117" s="65" t="s">
        <v>9</v>
      </c>
      <c r="M117" s="27"/>
      <c r="N117" s="65" t="s">
        <v>83</v>
      </c>
      <c r="O117" s="65" t="s">
        <v>478</v>
      </c>
      <c r="P117" s="66"/>
      <c r="Q117" s="65">
        <v>40</v>
      </c>
      <c r="R117" s="65"/>
      <c r="S117" s="69" t="s">
        <v>276</v>
      </c>
      <c r="T117" s="70"/>
      <c r="U117" s="70"/>
      <c r="V117" s="49"/>
      <c r="W117" s="70"/>
      <c r="X117" s="70"/>
      <c r="Y117" s="49"/>
      <c r="Z117" s="70"/>
      <c r="AA117" s="70"/>
      <c r="AB117" s="86"/>
      <c r="AC117" s="71">
        <v>44344</v>
      </c>
      <c r="AD117" s="65"/>
      <c r="AE117" s="27"/>
      <c r="AF117" s="65"/>
      <c r="AG117" s="65"/>
    </row>
    <row r="118" spans="1:33" x14ac:dyDescent="0.25">
      <c r="A118" s="68">
        <v>118</v>
      </c>
      <c r="B118" s="71">
        <v>44336</v>
      </c>
      <c r="C118" s="65"/>
      <c r="D118" s="59"/>
      <c r="E118" s="65"/>
      <c r="F118" s="65">
        <v>2202105304</v>
      </c>
      <c r="G118" s="59"/>
      <c r="H118" s="65"/>
      <c r="I118" s="65" t="s">
        <v>484</v>
      </c>
      <c r="J118" s="27"/>
      <c r="K118" s="65" t="s">
        <v>485</v>
      </c>
      <c r="L118" s="65" t="s">
        <v>16</v>
      </c>
      <c r="M118" s="27"/>
      <c r="N118" s="65" t="s">
        <v>83</v>
      </c>
      <c r="O118" s="65" t="s">
        <v>140</v>
      </c>
      <c r="P118" s="66"/>
      <c r="Q118" s="65">
        <v>33.799999999999997</v>
      </c>
      <c r="R118" s="65"/>
      <c r="S118" s="69" t="s">
        <v>276</v>
      </c>
      <c r="T118" s="70"/>
      <c r="U118" s="70"/>
      <c r="V118" s="49"/>
      <c r="W118" s="70"/>
      <c r="X118" s="70"/>
      <c r="Y118" s="49"/>
      <c r="Z118" s="70"/>
      <c r="AA118" s="70"/>
      <c r="AB118" s="86"/>
      <c r="AC118" s="71">
        <v>44344</v>
      </c>
      <c r="AD118" s="65"/>
      <c r="AE118" s="27"/>
      <c r="AF118" s="65"/>
      <c r="AG118" s="65"/>
    </row>
    <row r="119" spans="1:33" x14ac:dyDescent="0.25">
      <c r="A119" s="68">
        <v>119</v>
      </c>
      <c r="B119" s="71">
        <v>44336</v>
      </c>
      <c r="C119" s="65"/>
      <c r="D119" s="59"/>
      <c r="E119" s="65"/>
      <c r="F119" s="65">
        <v>2202105347</v>
      </c>
      <c r="G119" s="59"/>
      <c r="H119" s="65"/>
      <c r="I119" s="65" t="s">
        <v>486</v>
      </c>
      <c r="J119" s="27"/>
      <c r="K119" s="65" t="s">
        <v>487</v>
      </c>
      <c r="L119" s="65" t="s">
        <v>16</v>
      </c>
      <c r="M119" s="27"/>
      <c r="N119" s="65" t="s">
        <v>83</v>
      </c>
      <c r="O119" s="65" t="s">
        <v>142</v>
      </c>
      <c r="P119" s="66"/>
      <c r="Q119" s="65">
        <v>31.2</v>
      </c>
      <c r="R119" s="65"/>
      <c r="S119" s="69" t="s">
        <v>276</v>
      </c>
      <c r="T119" s="70"/>
      <c r="U119" s="70"/>
      <c r="V119" s="49"/>
      <c r="W119" s="70"/>
      <c r="X119" s="70"/>
      <c r="Y119" s="49"/>
      <c r="Z119" s="70"/>
      <c r="AA119" s="70"/>
      <c r="AB119" s="86"/>
      <c r="AC119" s="71">
        <v>44344</v>
      </c>
      <c r="AD119" s="65"/>
      <c r="AE119" s="27"/>
      <c r="AF119" s="65"/>
      <c r="AG119" s="65"/>
    </row>
    <row r="120" spans="1:33" x14ac:dyDescent="0.25">
      <c r="A120" s="68">
        <v>120</v>
      </c>
      <c r="B120" s="71">
        <v>44336</v>
      </c>
      <c r="C120" s="65"/>
      <c r="D120" s="59"/>
      <c r="E120" s="65"/>
      <c r="F120" s="65">
        <v>2202105240</v>
      </c>
      <c r="G120" s="59"/>
      <c r="H120" s="65"/>
      <c r="I120" s="65" t="s">
        <v>488</v>
      </c>
      <c r="J120" s="27"/>
      <c r="K120" s="65" t="s">
        <v>489</v>
      </c>
      <c r="L120" s="65" t="s">
        <v>16</v>
      </c>
      <c r="M120" s="27"/>
      <c r="N120" s="65" t="s">
        <v>83</v>
      </c>
      <c r="O120" s="65" t="s">
        <v>142</v>
      </c>
      <c r="P120" s="66"/>
      <c r="Q120" s="65">
        <v>124.9</v>
      </c>
      <c r="R120" s="65"/>
      <c r="S120" s="69" t="s">
        <v>276</v>
      </c>
      <c r="T120" s="70"/>
      <c r="U120" s="70"/>
      <c r="V120" s="49"/>
      <c r="W120" s="70"/>
      <c r="X120" s="70"/>
      <c r="Y120" s="49"/>
      <c r="Z120" s="70"/>
      <c r="AA120" s="70"/>
      <c r="AB120" s="86"/>
      <c r="AC120" s="71">
        <v>44344</v>
      </c>
      <c r="AD120" s="65"/>
      <c r="AE120" s="27"/>
      <c r="AF120" s="65"/>
      <c r="AG120" s="65"/>
    </row>
    <row r="121" spans="1:33" x14ac:dyDescent="0.25">
      <c r="A121" s="68">
        <v>121</v>
      </c>
      <c r="B121" s="71">
        <v>44336</v>
      </c>
      <c r="C121" s="65"/>
      <c r="D121" s="59"/>
      <c r="E121" s="65"/>
      <c r="F121" s="65">
        <v>2202105444</v>
      </c>
      <c r="G121" s="59"/>
      <c r="H121" s="65"/>
      <c r="I121" s="65" t="s">
        <v>490</v>
      </c>
      <c r="J121" s="27"/>
      <c r="K121" s="65" t="s">
        <v>491</v>
      </c>
      <c r="L121" s="65" t="s">
        <v>16</v>
      </c>
      <c r="M121" s="27"/>
      <c r="N121" s="65" t="s">
        <v>83</v>
      </c>
      <c r="O121" s="65" t="s">
        <v>140</v>
      </c>
      <c r="P121" s="66"/>
      <c r="Q121" s="65">
        <v>13.31</v>
      </c>
      <c r="R121" s="65"/>
      <c r="S121" s="69" t="s">
        <v>276</v>
      </c>
      <c r="T121" s="70"/>
      <c r="U121" s="70"/>
      <c r="V121" s="49"/>
      <c r="W121" s="70"/>
      <c r="X121" s="70"/>
      <c r="Y121" s="49"/>
      <c r="Z121" s="70"/>
      <c r="AA121" s="70"/>
      <c r="AB121" s="86"/>
      <c r="AC121" s="71">
        <v>44344</v>
      </c>
      <c r="AD121" s="65"/>
      <c r="AE121" s="27"/>
      <c r="AF121" s="65"/>
      <c r="AG121" s="65"/>
    </row>
    <row r="122" spans="1:33" x14ac:dyDescent="0.25">
      <c r="A122" s="68">
        <v>122</v>
      </c>
      <c r="B122" s="71">
        <v>44336</v>
      </c>
      <c r="C122" s="65"/>
      <c r="D122" s="59"/>
      <c r="E122" s="65"/>
      <c r="F122" s="65">
        <v>2202105242</v>
      </c>
      <c r="G122" s="59"/>
      <c r="H122" s="65"/>
      <c r="I122" s="65" t="s">
        <v>492</v>
      </c>
      <c r="J122" s="27"/>
      <c r="K122" s="65" t="s">
        <v>489</v>
      </c>
      <c r="L122" s="65" t="s">
        <v>16</v>
      </c>
      <c r="M122" s="27"/>
      <c r="N122" s="65" t="s">
        <v>83</v>
      </c>
      <c r="O122" s="65" t="s">
        <v>142</v>
      </c>
      <c r="P122" s="66"/>
      <c r="Q122" s="65">
        <v>20</v>
      </c>
      <c r="R122" s="65"/>
      <c r="S122" s="69" t="s">
        <v>276</v>
      </c>
      <c r="T122" s="70"/>
      <c r="U122" s="70"/>
      <c r="V122" s="49"/>
      <c r="W122" s="70"/>
      <c r="X122" s="70"/>
      <c r="Y122" s="49"/>
      <c r="Z122" s="70"/>
      <c r="AA122" s="70"/>
      <c r="AB122" s="86"/>
      <c r="AC122" s="71">
        <v>44344</v>
      </c>
      <c r="AD122" s="65"/>
      <c r="AE122" s="27"/>
      <c r="AF122" s="65"/>
      <c r="AG122" s="65"/>
    </row>
    <row r="123" spans="1:33" x14ac:dyDescent="0.25">
      <c r="A123" s="68">
        <v>123</v>
      </c>
      <c r="B123" s="71">
        <v>44336</v>
      </c>
      <c r="C123" s="65"/>
      <c r="D123" s="59"/>
      <c r="E123" s="65"/>
      <c r="F123" s="65">
        <v>2202105353</v>
      </c>
      <c r="G123" s="59"/>
      <c r="H123" s="65"/>
      <c r="I123" s="65" t="s">
        <v>493</v>
      </c>
      <c r="J123" s="27"/>
      <c r="K123" s="65" t="s">
        <v>487</v>
      </c>
      <c r="L123" s="65" t="s">
        <v>16</v>
      </c>
      <c r="M123" s="27"/>
      <c r="N123" s="65" t="s">
        <v>83</v>
      </c>
      <c r="O123" s="65" t="s">
        <v>140</v>
      </c>
      <c r="P123" s="66"/>
      <c r="Q123" s="65">
        <v>39.06</v>
      </c>
      <c r="R123" s="65"/>
      <c r="S123" s="69" t="s">
        <v>276</v>
      </c>
      <c r="T123" s="70"/>
      <c r="U123" s="70"/>
      <c r="V123" s="49"/>
      <c r="W123" s="70"/>
      <c r="X123" s="70"/>
      <c r="Y123" s="49"/>
      <c r="Z123" s="70"/>
      <c r="AA123" s="70"/>
      <c r="AB123" s="86"/>
      <c r="AC123" s="71">
        <v>44344</v>
      </c>
      <c r="AD123" s="65"/>
      <c r="AE123" s="27"/>
      <c r="AF123" s="65"/>
      <c r="AG123" s="65"/>
    </row>
    <row r="124" spans="1:33" x14ac:dyDescent="0.25">
      <c r="A124" s="68">
        <v>124</v>
      </c>
      <c r="B124" s="71">
        <v>44336</v>
      </c>
      <c r="C124" s="65"/>
      <c r="D124" s="59"/>
      <c r="E124" s="65"/>
      <c r="F124" s="65">
        <v>2202105319</v>
      </c>
      <c r="G124" s="59"/>
      <c r="H124" s="65"/>
      <c r="I124" s="65" t="s">
        <v>494</v>
      </c>
      <c r="J124" s="27"/>
      <c r="K124" s="65" t="s">
        <v>487</v>
      </c>
      <c r="L124" s="65" t="s">
        <v>16</v>
      </c>
      <c r="M124" s="27"/>
      <c r="N124" s="65" t="s">
        <v>83</v>
      </c>
      <c r="O124" s="65" t="s">
        <v>140</v>
      </c>
      <c r="P124" s="66"/>
      <c r="Q124" s="65">
        <v>10.96</v>
      </c>
      <c r="R124" s="65"/>
      <c r="S124" s="69" t="s">
        <v>276</v>
      </c>
      <c r="T124" s="70"/>
      <c r="U124" s="70"/>
      <c r="V124" s="49"/>
      <c r="W124" s="70"/>
      <c r="X124" s="70"/>
      <c r="Y124" s="49"/>
      <c r="Z124" s="70"/>
      <c r="AA124" s="70"/>
      <c r="AB124" s="86"/>
      <c r="AC124" s="71">
        <v>44344</v>
      </c>
      <c r="AD124" s="65"/>
      <c r="AE124" s="27"/>
      <c r="AF124" s="65"/>
      <c r="AG124" s="65"/>
    </row>
    <row r="125" spans="1:33" x14ac:dyDescent="0.25">
      <c r="A125" s="68">
        <v>125</v>
      </c>
      <c r="B125" s="71">
        <v>44336</v>
      </c>
      <c r="C125" s="65"/>
      <c r="D125" s="59"/>
      <c r="E125" s="65"/>
      <c r="F125" s="65">
        <v>2202105504</v>
      </c>
      <c r="G125" s="59"/>
      <c r="H125" s="65"/>
      <c r="I125" s="65" t="s">
        <v>495</v>
      </c>
      <c r="J125" s="27"/>
      <c r="K125" s="65" t="s">
        <v>496</v>
      </c>
      <c r="L125" s="65" t="s">
        <v>16</v>
      </c>
      <c r="M125" s="27"/>
      <c r="N125" s="65" t="s">
        <v>83</v>
      </c>
      <c r="O125" s="65" t="s">
        <v>497</v>
      </c>
      <c r="P125" s="66"/>
      <c r="Q125" s="65">
        <v>40.5</v>
      </c>
      <c r="R125" s="65"/>
      <c r="S125" s="69" t="s">
        <v>276</v>
      </c>
      <c r="T125" s="70"/>
      <c r="U125" s="70"/>
      <c r="V125" s="49"/>
      <c r="W125" s="70"/>
      <c r="X125" s="70"/>
      <c r="Y125" s="49"/>
      <c r="Z125" s="70"/>
      <c r="AA125" s="70"/>
      <c r="AB125" s="86"/>
      <c r="AC125" s="71">
        <v>44344</v>
      </c>
      <c r="AD125" s="65"/>
      <c r="AE125" s="27"/>
      <c r="AF125" s="65"/>
      <c r="AG125" s="65"/>
    </row>
    <row r="126" spans="1:33" x14ac:dyDescent="0.25">
      <c r="A126" s="68">
        <v>126</v>
      </c>
      <c r="B126" s="71">
        <v>44336</v>
      </c>
      <c r="C126" s="65"/>
      <c r="D126" s="59"/>
      <c r="E126" s="65"/>
      <c r="F126" s="65">
        <v>2202105438</v>
      </c>
      <c r="G126" s="59"/>
      <c r="H126" s="65"/>
      <c r="I126" s="65" t="s">
        <v>498</v>
      </c>
      <c r="J126" s="27"/>
      <c r="K126" s="65" t="s">
        <v>499</v>
      </c>
      <c r="L126" s="65" t="s">
        <v>16</v>
      </c>
      <c r="M126" s="27"/>
      <c r="N126" s="65" t="s">
        <v>83</v>
      </c>
      <c r="O126" s="65" t="s">
        <v>143</v>
      </c>
      <c r="P126" s="66"/>
      <c r="Q126" s="65">
        <v>32</v>
      </c>
      <c r="R126" s="65"/>
      <c r="S126" s="69" t="s">
        <v>276</v>
      </c>
      <c r="T126" s="70"/>
      <c r="U126" s="70"/>
      <c r="V126" s="49"/>
      <c r="W126" s="70"/>
      <c r="X126" s="70"/>
      <c r="Y126" s="49"/>
      <c r="Z126" s="70"/>
      <c r="AA126" s="70"/>
      <c r="AB126" s="86"/>
      <c r="AC126" s="71">
        <v>44344</v>
      </c>
      <c r="AD126" s="65"/>
      <c r="AE126" s="27"/>
      <c r="AF126" s="65"/>
      <c r="AG126" s="65"/>
    </row>
    <row r="127" spans="1:33" x14ac:dyDescent="0.25">
      <c r="A127" s="68">
        <v>127</v>
      </c>
      <c r="B127" s="71">
        <v>44336</v>
      </c>
      <c r="C127" s="65"/>
      <c r="D127" s="59"/>
      <c r="E127" s="65"/>
      <c r="F127" s="65">
        <v>2202105244</v>
      </c>
      <c r="G127" s="59"/>
      <c r="H127" s="65"/>
      <c r="I127" s="65" t="s">
        <v>500</v>
      </c>
      <c r="J127" s="27"/>
      <c r="K127" s="65" t="s">
        <v>501</v>
      </c>
      <c r="L127" s="65" t="s">
        <v>16</v>
      </c>
      <c r="M127" s="27"/>
      <c r="N127" s="65" t="s">
        <v>83</v>
      </c>
      <c r="O127" s="65" t="s">
        <v>140</v>
      </c>
      <c r="P127" s="66"/>
      <c r="Q127" s="65">
        <v>42</v>
      </c>
      <c r="R127" s="65"/>
      <c r="S127" s="69" t="s">
        <v>276</v>
      </c>
      <c r="T127" s="70"/>
      <c r="U127" s="70"/>
      <c r="V127" s="49"/>
      <c r="W127" s="70"/>
      <c r="X127" s="70"/>
      <c r="Y127" s="49"/>
      <c r="Z127" s="70"/>
      <c r="AA127" s="70"/>
      <c r="AB127" s="86"/>
      <c r="AC127" s="71">
        <v>44344</v>
      </c>
      <c r="AD127" s="65"/>
      <c r="AE127" s="27"/>
      <c r="AF127" s="65"/>
      <c r="AG127" s="65"/>
    </row>
    <row r="128" spans="1:33" x14ac:dyDescent="0.25">
      <c r="A128" s="68">
        <v>128</v>
      </c>
      <c r="B128" s="71">
        <v>44336</v>
      </c>
      <c r="C128" s="65"/>
      <c r="D128" s="59"/>
      <c r="E128" s="65"/>
      <c r="F128" s="65">
        <v>2202105326</v>
      </c>
      <c r="G128" s="59"/>
      <c r="H128" s="65"/>
      <c r="I128" s="65" t="s">
        <v>502</v>
      </c>
      <c r="J128" s="27"/>
      <c r="K128" s="65" t="s">
        <v>487</v>
      </c>
      <c r="L128" s="65" t="s">
        <v>16</v>
      </c>
      <c r="M128" s="27"/>
      <c r="N128" s="65" t="s">
        <v>83</v>
      </c>
      <c r="O128" s="65" t="s">
        <v>140</v>
      </c>
      <c r="P128" s="66"/>
      <c r="Q128" s="65">
        <v>25.41</v>
      </c>
      <c r="R128" s="65"/>
      <c r="S128" s="69" t="s">
        <v>276</v>
      </c>
      <c r="T128" s="70"/>
      <c r="U128" s="70"/>
      <c r="V128" s="49"/>
      <c r="W128" s="70"/>
      <c r="X128" s="70"/>
      <c r="Y128" s="49"/>
      <c r="Z128" s="70"/>
      <c r="AA128" s="70"/>
      <c r="AB128" s="86"/>
      <c r="AC128" s="71">
        <v>44344</v>
      </c>
      <c r="AD128" s="65"/>
      <c r="AE128" s="27"/>
      <c r="AF128" s="65"/>
      <c r="AG128" s="65"/>
    </row>
    <row r="129" spans="1:33" x14ac:dyDescent="0.25">
      <c r="A129" s="68">
        <v>129</v>
      </c>
      <c r="B129" s="71">
        <v>44336</v>
      </c>
      <c r="C129" s="65"/>
      <c r="D129" s="59"/>
      <c r="E129" s="65"/>
      <c r="F129" s="65">
        <v>2202105557</v>
      </c>
      <c r="G129" s="59"/>
      <c r="H129" s="65"/>
      <c r="I129" s="65" t="s">
        <v>503</v>
      </c>
      <c r="J129" s="27"/>
      <c r="K129" s="65" t="s">
        <v>35</v>
      </c>
      <c r="L129" s="65" t="s">
        <v>16</v>
      </c>
      <c r="M129" s="27"/>
      <c r="N129" s="65" t="s">
        <v>83</v>
      </c>
      <c r="O129" s="65" t="s">
        <v>497</v>
      </c>
      <c r="P129" s="66"/>
      <c r="Q129" s="65">
        <v>68</v>
      </c>
      <c r="R129" s="65"/>
      <c r="S129" s="69" t="s">
        <v>276</v>
      </c>
      <c r="T129" s="70"/>
      <c r="U129" s="70"/>
      <c r="V129" s="49"/>
      <c r="W129" s="70"/>
      <c r="X129" s="70"/>
      <c r="Y129" s="49"/>
      <c r="Z129" s="70"/>
      <c r="AA129" s="70"/>
      <c r="AB129" s="86"/>
      <c r="AC129" s="71">
        <v>44344</v>
      </c>
      <c r="AD129" s="65"/>
      <c r="AE129" s="27"/>
      <c r="AF129" s="65"/>
      <c r="AG129" s="65"/>
    </row>
    <row r="130" spans="1:33" x14ac:dyDescent="0.25">
      <c r="A130" s="68">
        <v>130</v>
      </c>
      <c r="B130" s="71">
        <v>44336</v>
      </c>
      <c r="C130" s="65"/>
      <c r="D130" s="59"/>
      <c r="E130" s="65"/>
      <c r="F130" s="65">
        <v>2202105496</v>
      </c>
      <c r="G130" s="59"/>
      <c r="H130" s="65"/>
      <c r="I130" s="65" t="s">
        <v>504</v>
      </c>
      <c r="J130" s="27"/>
      <c r="K130" s="65" t="s">
        <v>505</v>
      </c>
      <c r="L130" s="65" t="s">
        <v>16</v>
      </c>
      <c r="M130" s="27"/>
      <c r="N130" s="65" t="s">
        <v>83</v>
      </c>
      <c r="O130" s="65" t="s">
        <v>147</v>
      </c>
      <c r="P130" s="66"/>
      <c r="Q130" s="65">
        <v>111</v>
      </c>
      <c r="R130" s="65"/>
      <c r="S130" s="69" t="s">
        <v>276</v>
      </c>
      <c r="T130" s="70"/>
      <c r="U130" s="70"/>
      <c r="V130" s="49"/>
      <c r="W130" s="70"/>
      <c r="X130" s="70"/>
      <c r="Y130" s="49"/>
      <c r="Z130" s="70"/>
      <c r="AA130" s="70"/>
      <c r="AB130" s="86"/>
      <c r="AC130" s="71">
        <v>44344</v>
      </c>
      <c r="AD130" s="65"/>
      <c r="AE130" s="27"/>
      <c r="AF130" s="65"/>
      <c r="AG130" s="65"/>
    </row>
    <row r="131" spans="1:33" x14ac:dyDescent="0.25">
      <c r="A131" s="68">
        <v>131</v>
      </c>
      <c r="B131" s="71">
        <v>44336</v>
      </c>
      <c r="C131" s="65"/>
      <c r="D131" s="59"/>
      <c r="E131" s="65"/>
      <c r="F131" s="65">
        <v>2202105417</v>
      </c>
      <c r="G131" s="59"/>
      <c r="H131" s="65"/>
      <c r="I131" s="65" t="s">
        <v>506</v>
      </c>
      <c r="J131" s="27"/>
      <c r="K131" s="65" t="s">
        <v>507</v>
      </c>
      <c r="L131" s="65" t="s">
        <v>25</v>
      </c>
      <c r="M131" s="27"/>
      <c r="N131" s="65" t="s">
        <v>83</v>
      </c>
      <c r="O131" s="65" t="s">
        <v>136</v>
      </c>
      <c r="P131" s="66"/>
      <c r="Q131" s="65">
        <v>73.540000000000006</v>
      </c>
      <c r="R131" s="65"/>
      <c r="S131" s="69" t="s">
        <v>276</v>
      </c>
      <c r="T131" s="70"/>
      <c r="U131" s="70"/>
      <c r="V131" s="49"/>
      <c r="W131" s="70"/>
      <c r="X131" s="70"/>
      <c r="Y131" s="49"/>
      <c r="Z131" s="70"/>
      <c r="AA131" s="70"/>
      <c r="AB131" s="86"/>
      <c r="AC131" s="71">
        <v>44344</v>
      </c>
      <c r="AD131" s="65"/>
      <c r="AE131" s="27"/>
      <c r="AF131" s="65"/>
      <c r="AG131" s="65"/>
    </row>
    <row r="132" spans="1:33" x14ac:dyDescent="0.25">
      <c r="A132" s="68">
        <v>132</v>
      </c>
      <c r="B132" s="71">
        <v>44336</v>
      </c>
      <c r="C132" s="65"/>
      <c r="D132" s="59"/>
      <c r="E132" s="65"/>
      <c r="F132" s="65">
        <v>2202105566</v>
      </c>
      <c r="G132" s="59"/>
      <c r="H132" s="65"/>
      <c r="I132" s="65" t="s">
        <v>508</v>
      </c>
      <c r="J132" s="27"/>
      <c r="K132" s="65" t="s">
        <v>35</v>
      </c>
      <c r="L132" s="65" t="s">
        <v>16</v>
      </c>
      <c r="M132" s="27"/>
      <c r="N132" s="65" t="s">
        <v>83</v>
      </c>
      <c r="O132" s="65" t="s">
        <v>497</v>
      </c>
      <c r="P132" s="66"/>
      <c r="Q132" s="65">
        <v>95</v>
      </c>
      <c r="R132" s="65"/>
      <c r="S132" s="69" t="s">
        <v>276</v>
      </c>
      <c r="T132" s="70"/>
      <c r="U132" s="70"/>
      <c r="V132" s="49"/>
      <c r="W132" s="70"/>
      <c r="X132" s="70"/>
      <c r="Y132" s="49"/>
      <c r="Z132" s="70"/>
      <c r="AA132" s="70"/>
      <c r="AB132" s="86"/>
      <c r="AC132" s="71">
        <v>44344</v>
      </c>
      <c r="AD132" s="65"/>
      <c r="AE132" s="27"/>
      <c r="AF132" s="65"/>
      <c r="AG132" s="65"/>
    </row>
    <row r="133" spans="1:33" x14ac:dyDescent="0.25">
      <c r="A133" s="68">
        <v>133</v>
      </c>
      <c r="B133" s="71">
        <v>44336</v>
      </c>
      <c r="C133" s="65"/>
      <c r="D133" s="59"/>
      <c r="E133" s="65"/>
      <c r="F133" s="65">
        <v>2202105511</v>
      </c>
      <c r="G133" s="59"/>
      <c r="H133" s="65"/>
      <c r="I133" s="65" t="s">
        <v>509</v>
      </c>
      <c r="J133" s="27"/>
      <c r="K133" s="65" t="s">
        <v>510</v>
      </c>
      <c r="L133" s="65" t="s">
        <v>16</v>
      </c>
      <c r="M133" s="27"/>
      <c r="N133" s="65" t="s">
        <v>83</v>
      </c>
      <c r="O133" s="65" t="s">
        <v>136</v>
      </c>
      <c r="P133" s="66"/>
      <c r="Q133" s="65">
        <v>280</v>
      </c>
      <c r="R133" s="65"/>
      <c r="S133" s="69" t="s">
        <v>276</v>
      </c>
      <c r="T133" s="70"/>
      <c r="U133" s="70"/>
      <c r="V133" s="49"/>
      <c r="W133" s="70"/>
      <c r="X133" s="70"/>
      <c r="Y133" s="49"/>
      <c r="Z133" s="70"/>
      <c r="AA133" s="70"/>
      <c r="AB133" s="86"/>
      <c r="AC133" s="71">
        <v>44344</v>
      </c>
      <c r="AD133" s="65"/>
      <c r="AE133" s="27"/>
      <c r="AF133" s="65"/>
      <c r="AG133" s="65"/>
    </row>
    <row r="134" spans="1:33" x14ac:dyDescent="0.25">
      <c r="A134" s="68">
        <v>134</v>
      </c>
      <c r="B134" s="71">
        <v>44336</v>
      </c>
      <c r="C134" s="65"/>
      <c r="D134" s="59"/>
      <c r="E134" s="65"/>
      <c r="F134" s="65">
        <v>2202105380</v>
      </c>
      <c r="G134" s="59"/>
      <c r="H134" s="65"/>
      <c r="I134" s="65" t="s">
        <v>511</v>
      </c>
      <c r="J134" s="27"/>
      <c r="K134" s="65" t="s">
        <v>512</v>
      </c>
      <c r="L134" s="65" t="s">
        <v>16</v>
      </c>
      <c r="M134" s="27"/>
      <c r="N134" s="65" t="s">
        <v>83</v>
      </c>
      <c r="O134" s="65" t="s">
        <v>142</v>
      </c>
      <c r="P134" s="66"/>
      <c r="Q134" s="65">
        <v>42.3</v>
      </c>
      <c r="R134" s="65"/>
      <c r="S134" s="69" t="s">
        <v>276</v>
      </c>
      <c r="T134" s="70"/>
      <c r="U134" s="70"/>
      <c r="V134" s="49"/>
      <c r="W134" s="70"/>
      <c r="X134" s="70"/>
      <c r="Y134" s="49"/>
      <c r="Z134" s="70"/>
      <c r="AA134" s="70"/>
      <c r="AB134" s="86"/>
      <c r="AC134" s="71">
        <v>44344</v>
      </c>
      <c r="AD134" s="65"/>
      <c r="AE134" s="27"/>
      <c r="AF134" s="65"/>
      <c r="AG134" s="65"/>
    </row>
    <row r="135" spans="1:33" x14ac:dyDescent="0.25">
      <c r="A135" s="68">
        <v>135</v>
      </c>
      <c r="B135" s="71">
        <v>44336</v>
      </c>
      <c r="C135" s="65"/>
      <c r="D135" s="59"/>
      <c r="E135" s="65"/>
      <c r="F135" s="65">
        <v>2202105348</v>
      </c>
      <c r="G135" s="59"/>
      <c r="H135" s="65"/>
      <c r="I135" s="65" t="s">
        <v>486</v>
      </c>
      <c r="J135" s="27"/>
      <c r="K135" s="65" t="s">
        <v>487</v>
      </c>
      <c r="L135" s="65" t="s">
        <v>16</v>
      </c>
      <c r="M135" s="27"/>
      <c r="N135" s="65" t="s">
        <v>83</v>
      </c>
      <c r="O135" s="65" t="s">
        <v>140</v>
      </c>
      <c r="P135" s="66"/>
      <c r="Q135" s="65">
        <v>20.74</v>
      </c>
      <c r="R135" s="65"/>
      <c r="S135" s="69" t="s">
        <v>276</v>
      </c>
      <c r="T135" s="70"/>
      <c r="U135" s="70"/>
      <c r="V135" s="49"/>
      <c r="W135" s="70"/>
      <c r="X135" s="70"/>
      <c r="Y135" s="49"/>
      <c r="Z135" s="70"/>
      <c r="AA135" s="70"/>
      <c r="AB135" s="86"/>
      <c r="AC135" s="71">
        <v>44344</v>
      </c>
      <c r="AD135" s="65"/>
      <c r="AE135" s="27"/>
      <c r="AF135" s="65"/>
      <c r="AG135" s="65"/>
    </row>
    <row r="136" spans="1:33" x14ac:dyDescent="0.25">
      <c r="A136" s="68">
        <v>136</v>
      </c>
      <c r="B136" s="71">
        <v>44336</v>
      </c>
      <c r="C136" s="65"/>
      <c r="D136" s="59"/>
      <c r="E136" s="65"/>
      <c r="F136" s="65">
        <v>2202105213</v>
      </c>
      <c r="G136" s="59"/>
      <c r="H136" s="65"/>
      <c r="I136" s="65" t="s">
        <v>513</v>
      </c>
      <c r="J136" s="27"/>
      <c r="K136" s="65" t="s">
        <v>489</v>
      </c>
      <c r="L136" s="65" t="s">
        <v>16</v>
      </c>
      <c r="M136" s="27"/>
      <c r="N136" s="65" t="s">
        <v>83</v>
      </c>
      <c r="O136" s="65" t="s">
        <v>142</v>
      </c>
      <c r="P136" s="66"/>
      <c r="Q136" s="65">
        <v>25.5</v>
      </c>
      <c r="R136" s="65"/>
      <c r="S136" s="69" t="s">
        <v>276</v>
      </c>
      <c r="T136" s="70"/>
      <c r="U136" s="70"/>
      <c r="V136" s="49"/>
      <c r="W136" s="70"/>
      <c r="X136" s="70"/>
      <c r="Y136" s="49"/>
      <c r="Z136" s="70"/>
      <c r="AA136" s="70"/>
      <c r="AB136" s="86"/>
      <c r="AC136" s="71">
        <v>44344</v>
      </c>
      <c r="AD136" s="65"/>
      <c r="AE136" s="27"/>
      <c r="AF136" s="65"/>
      <c r="AG136" s="65"/>
    </row>
    <row r="137" spans="1:33" x14ac:dyDescent="0.25">
      <c r="A137" s="68">
        <v>137</v>
      </c>
      <c r="B137" s="71">
        <v>44336</v>
      </c>
      <c r="C137" s="65"/>
      <c r="D137" s="59"/>
      <c r="E137" s="65"/>
      <c r="F137" s="65">
        <v>2202105542</v>
      </c>
      <c r="G137" s="59"/>
      <c r="H137" s="65"/>
      <c r="I137" s="65" t="s">
        <v>514</v>
      </c>
      <c r="J137" s="27"/>
      <c r="K137" s="65" t="s">
        <v>426</v>
      </c>
      <c r="L137" s="65" t="s">
        <v>16</v>
      </c>
      <c r="M137" s="27"/>
      <c r="N137" s="65" t="s">
        <v>83</v>
      </c>
      <c r="O137" s="65" t="s">
        <v>142</v>
      </c>
      <c r="P137" s="66"/>
      <c r="Q137" s="65">
        <v>32</v>
      </c>
      <c r="R137" s="65"/>
      <c r="S137" s="69" t="s">
        <v>276</v>
      </c>
      <c r="T137" s="70"/>
      <c r="U137" s="70"/>
      <c r="V137" s="49"/>
      <c r="W137" s="70"/>
      <c r="X137" s="70"/>
      <c r="Y137" s="49"/>
      <c r="Z137" s="70"/>
      <c r="AA137" s="70"/>
      <c r="AB137" s="86"/>
      <c r="AC137" s="71">
        <v>44344</v>
      </c>
      <c r="AD137" s="65"/>
      <c r="AE137" s="27"/>
      <c r="AF137" s="65"/>
      <c r="AG137" s="65"/>
    </row>
    <row r="138" spans="1:33" x14ac:dyDescent="0.25">
      <c r="A138" s="68">
        <v>138</v>
      </c>
      <c r="B138" s="71">
        <v>44337</v>
      </c>
      <c r="C138" s="65"/>
      <c r="D138" s="59"/>
      <c r="E138" s="65"/>
      <c r="F138" s="65">
        <v>2202105634</v>
      </c>
      <c r="G138" s="59"/>
      <c r="H138" s="65"/>
      <c r="I138" s="65" t="s">
        <v>515</v>
      </c>
      <c r="J138" s="27"/>
      <c r="K138" s="65" t="s">
        <v>379</v>
      </c>
      <c r="L138" s="65" t="s">
        <v>9</v>
      </c>
      <c r="M138" s="27"/>
      <c r="N138" s="65" t="s">
        <v>83</v>
      </c>
      <c r="O138" s="65" t="s">
        <v>478</v>
      </c>
      <c r="P138" s="66"/>
      <c r="Q138" s="65">
        <v>27.15</v>
      </c>
      <c r="R138" s="65"/>
      <c r="S138" s="69" t="s">
        <v>276</v>
      </c>
      <c r="T138" s="70"/>
      <c r="U138" s="70"/>
      <c r="V138" s="49"/>
      <c r="W138" s="70"/>
      <c r="X138" s="70"/>
      <c r="Y138" s="49"/>
      <c r="Z138" s="70"/>
      <c r="AA138" s="70"/>
      <c r="AB138" s="86"/>
      <c r="AC138" s="71">
        <v>44344</v>
      </c>
      <c r="AD138" s="65"/>
      <c r="AE138" s="27"/>
      <c r="AF138" s="65"/>
      <c r="AG138" s="65"/>
    </row>
    <row r="139" spans="1:33" x14ac:dyDescent="0.25">
      <c r="A139" s="68">
        <v>139</v>
      </c>
      <c r="B139" s="71">
        <v>44337</v>
      </c>
      <c r="C139" s="65"/>
      <c r="D139" s="59"/>
      <c r="E139" s="65"/>
      <c r="F139" s="65">
        <v>2202105596</v>
      </c>
      <c r="G139" s="59"/>
      <c r="H139" s="65"/>
      <c r="I139" s="65" t="s">
        <v>516</v>
      </c>
      <c r="J139" s="27"/>
      <c r="K139" s="65" t="s">
        <v>34</v>
      </c>
      <c r="L139" s="65" t="s">
        <v>16</v>
      </c>
      <c r="M139" s="27"/>
      <c r="N139" s="65" t="s">
        <v>83</v>
      </c>
      <c r="O139" s="65" t="s">
        <v>497</v>
      </c>
      <c r="P139" s="66"/>
      <c r="Q139" s="65">
        <v>79.86</v>
      </c>
      <c r="R139" s="65"/>
      <c r="S139" s="69" t="s">
        <v>276</v>
      </c>
      <c r="T139" s="70"/>
      <c r="U139" s="70"/>
      <c r="V139" s="49"/>
      <c r="W139" s="70"/>
      <c r="X139" s="70"/>
      <c r="Y139" s="49"/>
      <c r="Z139" s="70"/>
      <c r="AA139" s="70"/>
      <c r="AB139" s="86"/>
      <c r="AC139" s="71">
        <v>44344</v>
      </c>
      <c r="AD139" s="65"/>
      <c r="AE139" s="27"/>
      <c r="AF139" s="65"/>
      <c r="AG139" s="65"/>
    </row>
    <row r="140" spans="1:33" x14ac:dyDescent="0.25">
      <c r="A140" s="68">
        <v>140</v>
      </c>
      <c r="B140" s="71">
        <v>44337</v>
      </c>
      <c r="C140" s="65"/>
      <c r="D140" s="59"/>
      <c r="E140" s="65"/>
      <c r="F140" s="65">
        <v>2202105721</v>
      </c>
      <c r="G140" s="59"/>
      <c r="H140" s="65"/>
      <c r="I140" s="65" t="s">
        <v>517</v>
      </c>
      <c r="J140" s="27"/>
      <c r="K140" s="65" t="s">
        <v>42</v>
      </c>
      <c r="L140" s="65" t="s">
        <v>16</v>
      </c>
      <c r="M140" s="27"/>
      <c r="N140" s="65" t="s">
        <v>83</v>
      </c>
      <c r="O140" s="65" t="s">
        <v>518</v>
      </c>
      <c r="P140" s="66"/>
      <c r="Q140" s="65">
        <v>45.8</v>
      </c>
      <c r="R140" s="65"/>
      <c r="S140" s="69" t="s">
        <v>276</v>
      </c>
      <c r="T140" s="70"/>
      <c r="U140" s="70"/>
      <c r="V140" s="49"/>
      <c r="W140" s="70"/>
      <c r="X140" s="70"/>
      <c r="Y140" s="49"/>
      <c r="Z140" s="70"/>
      <c r="AA140" s="70"/>
      <c r="AB140" s="86"/>
      <c r="AC140" s="71">
        <v>44344</v>
      </c>
      <c r="AD140" s="65"/>
      <c r="AE140" s="27"/>
      <c r="AF140" s="65"/>
      <c r="AG140" s="65"/>
    </row>
    <row r="141" spans="1:33" x14ac:dyDescent="0.25">
      <c r="A141" s="68">
        <v>141</v>
      </c>
      <c r="B141" s="71">
        <v>44337</v>
      </c>
      <c r="C141" s="65"/>
      <c r="D141" s="59"/>
      <c r="E141" s="65"/>
      <c r="F141" s="65">
        <v>2202105630</v>
      </c>
      <c r="G141" s="59"/>
      <c r="H141" s="65"/>
      <c r="I141" s="65" t="s">
        <v>519</v>
      </c>
      <c r="J141" s="27"/>
      <c r="K141" s="65" t="s">
        <v>520</v>
      </c>
      <c r="L141" s="65" t="s">
        <v>16</v>
      </c>
      <c r="M141" s="27"/>
      <c r="N141" s="65" t="s">
        <v>83</v>
      </c>
      <c r="O141" s="65" t="s">
        <v>143</v>
      </c>
      <c r="P141" s="66"/>
      <c r="Q141" s="65">
        <v>21.78</v>
      </c>
      <c r="R141" s="65"/>
      <c r="S141" s="69" t="s">
        <v>276</v>
      </c>
      <c r="T141" s="70"/>
      <c r="U141" s="70"/>
      <c r="V141" s="49"/>
      <c r="W141" s="70"/>
      <c r="X141" s="70"/>
      <c r="Y141" s="49"/>
      <c r="Z141" s="70"/>
      <c r="AA141" s="70"/>
      <c r="AB141" s="86"/>
      <c r="AC141" s="71">
        <v>44344</v>
      </c>
      <c r="AD141" s="65"/>
      <c r="AE141" s="27"/>
      <c r="AF141" s="65"/>
      <c r="AG141" s="65"/>
    </row>
    <row r="142" spans="1:33" x14ac:dyDescent="0.25">
      <c r="A142" s="68">
        <v>142</v>
      </c>
      <c r="B142" s="71">
        <v>44337</v>
      </c>
      <c r="C142" s="65"/>
      <c r="D142" s="59"/>
      <c r="E142" s="65"/>
      <c r="F142" s="65">
        <v>2202105694</v>
      </c>
      <c r="G142" s="59"/>
      <c r="H142" s="65"/>
      <c r="I142" s="65" t="s">
        <v>521</v>
      </c>
      <c r="J142" s="27"/>
      <c r="K142" s="65" t="s">
        <v>471</v>
      </c>
      <c r="L142" s="65" t="s">
        <v>25</v>
      </c>
      <c r="M142" s="27"/>
      <c r="N142" s="65" t="s">
        <v>83</v>
      </c>
      <c r="O142" s="65" t="s">
        <v>136</v>
      </c>
      <c r="P142" s="66"/>
      <c r="Q142" s="65">
        <v>27.22</v>
      </c>
      <c r="R142" s="65"/>
      <c r="S142" s="69" t="s">
        <v>276</v>
      </c>
      <c r="T142" s="70"/>
      <c r="U142" s="70"/>
      <c r="V142" s="49"/>
      <c r="W142" s="70"/>
      <c r="X142" s="70"/>
      <c r="Y142" s="49"/>
      <c r="Z142" s="70"/>
      <c r="AA142" s="70"/>
      <c r="AB142" s="86"/>
      <c r="AC142" s="71">
        <v>44344</v>
      </c>
      <c r="AD142" s="65"/>
      <c r="AE142" s="27"/>
      <c r="AF142" s="65"/>
      <c r="AG142" s="65"/>
    </row>
    <row r="143" spans="1:33" x14ac:dyDescent="0.25">
      <c r="A143" s="68">
        <v>143</v>
      </c>
      <c r="B143" s="71">
        <v>44337</v>
      </c>
      <c r="C143" s="65"/>
      <c r="D143" s="59"/>
      <c r="E143" s="65"/>
      <c r="F143" s="65">
        <v>2202105718</v>
      </c>
      <c r="G143" s="59"/>
      <c r="H143" s="65"/>
      <c r="I143" s="65" t="s">
        <v>522</v>
      </c>
      <c r="J143" s="27"/>
      <c r="K143" s="65" t="s">
        <v>471</v>
      </c>
      <c r="L143" s="65" t="s">
        <v>25</v>
      </c>
      <c r="M143" s="27"/>
      <c r="N143" s="65" t="s">
        <v>83</v>
      </c>
      <c r="O143" s="65" t="s">
        <v>136</v>
      </c>
      <c r="P143" s="66"/>
      <c r="Q143" s="65">
        <v>7.26</v>
      </c>
      <c r="R143" s="65"/>
      <c r="S143" s="69" t="s">
        <v>276</v>
      </c>
      <c r="T143" s="70"/>
      <c r="U143" s="70"/>
      <c r="V143" s="49"/>
      <c r="W143" s="70"/>
      <c r="X143" s="70"/>
      <c r="Y143" s="49"/>
      <c r="Z143" s="70"/>
      <c r="AA143" s="70"/>
      <c r="AB143" s="86"/>
      <c r="AC143" s="71">
        <v>44344</v>
      </c>
      <c r="AD143" s="65"/>
      <c r="AE143" s="27"/>
      <c r="AF143" s="65"/>
      <c r="AG143" s="65"/>
    </row>
    <row r="144" spans="1:33" x14ac:dyDescent="0.25">
      <c r="A144" s="68">
        <v>144</v>
      </c>
      <c r="B144" s="71">
        <v>44337</v>
      </c>
      <c r="C144" s="65"/>
      <c r="D144" s="59"/>
      <c r="E144" s="65"/>
      <c r="F144" s="65">
        <v>2202105717</v>
      </c>
      <c r="G144" s="59"/>
      <c r="H144" s="65"/>
      <c r="I144" s="65" t="s">
        <v>523</v>
      </c>
      <c r="J144" s="27"/>
      <c r="K144" s="65" t="s">
        <v>471</v>
      </c>
      <c r="L144" s="65" t="s">
        <v>16</v>
      </c>
      <c r="M144" s="27"/>
      <c r="N144" s="65" t="s">
        <v>83</v>
      </c>
      <c r="O144" s="65" t="s">
        <v>136</v>
      </c>
      <c r="P144" s="66"/>
      <c r="Q144" s="65">
        <v>9.94</v>
      </c>
      <c r="R144" s="65"/>
      <c r="S144" s="69" t="s">
        <v>276</v>
      </c>
      <c r="T144" s="70"/>
      <c r="U144" s="70"/>
      <c r="V144" s="49"/>
      <c r="W144" s="70"/>
      <c r="X144" s="70"/>
      <c r="Y144" s="49"/>
      <c r="Z144" s="70"/>
      <c r="AA144" s="70"/>
      <c r="AB144" s="86"/>
      <c r="AC144" s="71">
        <v>44344</v>
      </c>
      <c r="AD144" s="65"/>
      <c r="AE144" s="27"/>
      <c r="AF144" s="65"/>
      <c r="AG144" s="65"/>
    </row>
    <row r="145" spans="1:33" x14ac:dyDescent="0.25">
      <c r="A145" s="68">
        <v>145</v>
      </c>
      <c r="B145" s="71">
        <v>44340</v>
      </c>
      <c r="C145" s="65"/>
      <c r="D145" s="59"/>
      <c r="E145" s="65"/>
      <c r="F145" s="65">
        <v>2202105610</v>
      </c>
      <c r="G145" s="59"/>
      <c r="H145" s="65"/>
      <c r="I145" s="65" t="s">
        <v>524</v>
      </c>
      <c r="J145" s="27"/>
      <c r="K145" s="65" t="s">
        <v>525</v>
      </c>
      <c r="L145" s="65" t="s">
        <v>25</v>
      </c>
      <c r="M145" s="27"/>
      <c r="N145" s="65" t="s">
        <v>83</v>
      </c>
      <c r="O145" s="65" t="s">
        <v>136</v>
      </c>
      <c r="P145" s="66"/>
      <c r="Q145" s="65">
        <v>30</v>
      </c>
      <c r="R145" s="65"/>
      <c r="S145" s="69" t="s">
        <v>276</v>
      </c>
      <c r="T145" s="70"/>
      <c r="U145" s="70"/>
      <c r="V145" s="49"/>
      <c r="W145" s="70"/>
      <c r="X145" s="70"/>
      <c r="Y145" s="49"/>
      <c r="Z145" s="70"/>
      <c r="AA145" s="70"/>
      <c r="AB145" s="86"/>
      <c r="AC145" s="71">
        <v>44344</v>
      </c>
      <c r="AD145" s="65"/>
      <c r="AE145" s="27"/>
      <c r="AF145" s="65"/>
      <c r="AG145" s="65"/>
    </row>
    <row r="146" spans="1:33" x14ac:dyDescent="0.25">
      <c r="A146" s="68">
        <v>146</v>
      </c>
      <c r="B146" s="71">
        <v>44340</v>
      </c>
      <c r="C146" s="65"/>
      <c r="D146" s="59"/>
      <c r="E146" s="65"/>
      <c r="F146" s="65">
        <v>2202104578</v>
      </c>
      <c r="G146" s="59"/>
      <c r="H146" s="65"/>
      <c r="I146" s="65" t="s">
        <v>403</v>
      </c>
      <c r="J146" s="27"/>
      <c r="K146" s="65" t="s">
        <v>404</v>
      </c>
      <c r="L146" s="65" t="s">
        <v>25</v>
      </c>
      <c r="M146" s="27"/>
      <c r="N146" s="65" t="s">
        <v>83</v>
      </c>
      <c r="O146" s="65" t="s">
        <v>136</v>
      </c>
      <c r="P146" s="66"/>
      <c r="Q146" s="65">
        <v>17.62</v>
      </c>
      <c r="R146" s="65"/>
      <c r="S146" s="69" t="s">
        <v>276</v>
      </c>
      <c r="T146" s="70"/>
      <c r="U146" s="70"/>
      <c r="V146" s="49"/>
      <c r="W146" s="70"/>
      <c r="X146" s="70"/>
      <c r="Y146" s="49"/>
      <c r="Z146" s="70"/>
      <c r="AA146" s="70"/>
      <c r="AB146" s="86"/>
      <c r="AC146" s="71">
        <v>44344</v>
      </c>
      <c r="AD146" s="65"/>
      <c r="AE146" s="27"/>
      <c r="AF146" s="65"/>
      <c r="AG146" s="65"/>
    </row>
    <row r="147" spans="1:33" x14ac:dyDescent="0.25">
      <c r="A147" s="68">
        <v>147</v>
      </c>
      <c r="B147" s="71">
        <v>44340</v>
      </c>
      <c r="C147" s="65"/>
      <c r="D147" s="59"/>
      <c r="E147" s="65"/>
      <c r="F147" s="65">
        <v>2202105838</v>
      </c>
      <c r="G147" s="59"/>
      <c r="H147" s="65"/>
      <c r="I147" s="65" t="s">
        <v>526</v>
      </c>
      <c r="J147" s="27"/>
      <c r="K147" s="65" t="s">
        <v>527</v>
      </c>
      <c r="L147" s="65" t="s">
        <v>9</v>
      </c>
      <c r="M147" s="27"/>
      <c r="N147" s="65" t="s">
        <v>83</v>
      </c>
      <c r="O147" s="65" t="s">
        <v>528</v>
      </c>
      <c r="P147" s="66"/>
      <c r="Q147" s="65">
        <v>38.700000000000003</v>
      </c>
      <c r="R147" s="65"/>
      <c r="S147" s="69" t="s">
        <v>276</v>
      </c>
      <c r="T147" s="70"/>
      <c r="U147" s="70"/>
      <c r="V147" s="49"/>
      <c r="W147" s="70"/>
      <c r="X147" s="70"/>
      <c r="Y147" s="49"/>
      <c r="Z147" s="70"/>
      <c r="AA147" s="70"/>
      <c r="AB147" s="86"/>
      <c r="AC147" s="71">
        <v>44344</v>
      </c>
      <c r="AD147" s="65"/>
      <c r="AE147" s="27"/>
      <c r="AF147" s="65"/>
      <c r="AG147" s="65"/>
    </row>
    <row r="148" spans="1:33" x14ac:dyDescent="0.25">
      <c r="A148" s="68">
        <v>148</v>
      </c>
      <c r="B148" s="71">
        <v>44340</v>
      </c>
      <c r="C148" s="65"/>
      <c r="D148" s="59"/>
      <c r="E148" s="65"/>
      <c r="F148" s="65">
        <v>2202105788</v>
      </c>
      <c r="G148" s="59"/>
      <c r="H148" s="65"/>
      <c r="I148" s="65" t="s">
        <v>529</v>
      </c>
      <c r="J148" s="27"/>
      <c r="K148" s="65" t="s">
        <v>530</v>
      </c>
      <c r="L148" s="65" t="s">
        <v>9</v>
      </c>
      <c r="M148" s="27"/>
      <c r="N148" s="65" t="s">
        <v>83</v>
      </c>
      <c r="O148" s="65" t="s">
        <v>133</v>
      </c>
      <c r="P148" s="66"/>
      <c r="Q148" s="65">
        <v>1145.5</v>
      </c>
      <c r="R148" s="65"/>
      <c r="S148" s="69" t="s">
        <v>276</v>
      </c>
      <c r="T148" s="70"/>
      <c r="U148" s="70"/>
      <c r="V148" s="49"/>
      <c r="W148" s="70"/>
      <c r="X148" s="70"/>
      <c r="Y148" s="49"/>
      <c r="Z148" s="70"/>
      <c r="AA148" s="70"/>
      <c r="AB148" s="86"/>
      <c r="AC148" s="71">
        <v>44344</v>
      </c>
      <c r="AD148" s="65"/>
      <c r="AE148" s="27"/>
      <c r="AF148" s="65"/>
      <c r="AG148" s="65"/>
    </row>
    <row r="149" spans="1:33" x14ac:dyDescent="0.25">
      <c r="A149" s="68">
        <v>149</v>
      </c>
      <c r="B149" s="71">
        <v>44340</v>
      </c>
      <c r="C149" s="65"/>
      <c r="D149" s="59"/>
      <c r="E149" s="65"/>
      <c r="F149" s="65">
        <v>2202105821</v>
      </c>
      <c r="G149" s="59"/>
      <c r="H149" s="65"/>
      <c r="I149" s="65" t="s">
        <v>531</v>
      </c>
      <c r="J149" s="27"/>
      <c r="K149" s="65" t="s">
        <v>532</v>
      </c>
      <c r="L149" s="65" t="s">
        <v>9</v>
      </c>
      <c r="M149" s="27"/>
      <c r="N149" s="65" t="s">
        <v>83</v>
      </c>
      <c r="O149" s="65" t="s">
        <v>133</v>
      </c>
      <c r="P149" s="66"/>
      <c r="Q149" s="65">
        <v>23</v>
      </c>
      <c r="R149" s="65"/>
      <c r="S149" s="69" t="s">
        <v>276</v>
      </c>
      <c r="T149" s="70"/>
      <c r="U149" s="70"/>
      <c r="V149" s="49"/>
      <c r="W149" s="70"/>
      <c r="X149" s="70"/>
      <c r="Y149" s="49"/>
      <c r="Z149" s="70"/>
      <c r="AA149" s="70"/>
      <c r="AB149" s="86"/>
      <c r="AC149" s="71">
        <v>44344</v>
      </c>
      <c r="AD149" s="65"/>
      <c r="AE149" s="27"/>
      <c r="AF149" s="65"/>
      <c r="AG149" s="65"/>
    </row>
    <row r="150" spans="1:33" x14ac:dyDescent="0.25">
      <c r="A150" s="68">
        <v>150</v>
      </c>
      <c r="B150" s="71">
        <v>44340</v>
      </c>
      <c r="C150" s="65"/>
      <c r="D150" s="59"/>
      <c r="E150" s="65"/>
      <c r="F150" s="65">
        <v>2202105852</v>
      </c>
      <c r="G150" s="59"/>
      <c r="H150" s="65"/>
      <c r="I150" s="65" t="s">
        <v>533</v>
      </c>
      <c r="J150" s="27"/>
      <c r="K150" s="65" t="s">
        <v>364</v>
      </c>
      <c r="L150" s="65" t="s">
        <v>9</v>
      </c>
      <c r="M150" s="27"/>
      <c r="N150" s="65" t="s">
        <v>83</v>
      </c>
      <c r="O150" s="65" t="s">
        <v>133</v>
      </c>
      <c r="P150" s="66"/>
      <c r="Q150" s="65">
        <v>44</v>
      </c>
      <c r="R150" s="65"/>
      <c r="S150" s="69" t="s">
        <v>276</v>
      </c>
      <c r="T150" s="70"/>
      <c r="U150" s="70"/>
      <c r="V150" s="49"/>
      <c r="W150" s="70"/>
      <c r="X150" s="70"/>
      <c r="Y150" s="49"/>
      <c r="Z150" s="70"/>
      <c r="AA150" s="70"/>
      <c r="AB150" s="86"/>
      <c r="AC150" s="71">
        <v>44344</v>
      </c>
      <c r="AD150" s="65"/>
      <c r="AE150" s="27"/>
      <c r="AF150" s="65"/>
      <c r="AG150" s="65"/>
    </row>
    <row r="151" spans="1:33" x14ac:dyDescent="0.25">
      <c r="A151" s="68">
        <v>151</v>
      </c>
      <c r="B151" s="71">
        <v>44341</v>
      </c>
      <c r="C151" s="65"/>
      <c r="D151" s="59"/>
      <c r="E151" s="65"/>
      <c r="F151" s="65">
        <v>2202105795</v>
      </c>
      <c r="G151" s="59"/>
      <c r="H151" s="65"/>
      <c r="I151" s="65" t="s">
        <v>534</v>
      </c>
      <c r="J151" s="27"/>
      <c r="K151" s="65" t="s">
        <v>30</v>
      </c>
      <c r="L151" s="65" t="s">
        <v>16</v>
      </c>
      <c r="M151" s="27"/>
      <c r="N151" s="65" t="s">
        <v>83</v>
      </c>
      <c r="O151" s="65" t="s">
        <v>497</v>
      </c>
      <c r="P151" s="66"/>
      <c r="Q151" s="65">
        <v>28.72</v>
      </c>
      <c r="R151" s="65"/>
      <c r="S151" s="69" t="s">
        <v>276</v>
      </c>
      <c r="T151" s="70"/>
      <c r="U151" s="70"/>
      <c r="V151" s="49"/>
      <c r="W151" s="70"/>
      <c r="X151" s="70"/>
      <c r="Y151" s="49"/>
      <c r="Z151" s="70"/>
      <c r="AA151" s="70"/>
      <c r="AB151" s="86"/>
      <c r="AC151" s="71">
        <v>44344</v>
      </c>
      <c r="AD151" s="65"/>
      <c r="AE151" s="27"/>
      <c r="AF151" s="65"/>
      <c r="AG151" s="65"/>
    </row>
    <row r="152" spans="1:33" x14ac:dyDescent="0.25">
      <c r="A152" s="68">
        <v>152</v>
      </c>
      <c r="B152" s="71">
        <v>44341</v>
      </c>
      <c r="C152" s="65"/>
      <c r="D152" s="59"/>
      <c r="E152" s="65"/>
      <c r="F152" s="65">
        <v>2202105791</v>
      </c>
      <c r="G152" s="59"/>
      <c r="H152" s="65"/>
      <c r="I152" s="65" t="s">
        <v>534</v>
      </c>
      <c r="J152" s="27"/>
      <c r="K152" s="65" t="s">
        <v>30</v>
      </c>
      <c r="L152" s="65" t="s">
        <v>16</v>
      </c>
      <c r="M152" s="27"/>
      <c r="N152" s="65" t="s">
        <v>83</v>
      </c>
      <c r="O152" s="65" t="s">
        <v>497</v>
      </c>
      <c r="P152" s="66"/>
      <c r="Q152" s="65">
        <v>15</v>
      </c>
      <c r="R152" s="65"/>
      <c r="S152" s="69" t="s">
        <v>276</v>
      </c>
      <c r="T152" s="70"/>
      <c r="U152" s="70"/>
      <c r="V152" s="49"/>
      <c r="W152" s="70"/>
      <c r="X152" s="70"/>
      <c r="Y152" s="49"/>
      <c r="Z152" s="70"/>
      <c r="AA152" s="70"/>
      <c r="AB152" s="86"/>
      <c r="AC152" s="71">
        <v>44344</v>
      </c>
      <c r="AD152" s="65"/>
      <c r="AE152" s="27"/>
      <c r="AF152" s="65"/>
      <c r="AG152" s="65"/>
    </row>
    <row r="153" spans="1:33" x14ac:dyDescent="0.25">
      <c r="A153" s="68">
        <v>153</v>
      </c>
      <c r="B153" s="71">
        <v>44341</v>
      </c>
      <c r="C153" s="65"/>
      <c r="D153" s="59"/>
      <c r="E153" s="65"/>
      <c r="F153" s="65">
        <v>2202105790</v>
      </c>
      <c r="G153" s="59"/>
      <c r="H153" s="65"/>
      <c r="I153" s="65" t="s">
        <v>535</v>
      </c>
      <c r="J153" s="27"/>
      <c r="K153" s="65" t="s">
        <v>30</v>
      </c>
      <c r="L153" s="65" t="s">
        <v>16</v>
      </c>
      <c r="M153" s="27"/>
      <c r="N153" s="65" t="s">
        <v>83</v>
      </c>
      <c r="O153" s="65" t="s">
        <v>497</v>
      </c>
      <c r="P153" s="66"/>
      <c r="Q153" s="65">
        <v>20</v>
      </c>
      <c r="R153" s="65"/>
      <c r="S153" s="69" t="s">
        <v>276</v>
      </c>
      <c r="T153" s="70"/>
      <c r="U153" s="70"/>
      <c r="V153" s="49"/>
      <c r="W153" s="70"/>
      <c r="X153" s="70"/>
      <c r="Y153" s="49"/>
      <c r="Z153" s="70"/>
      <c r="AA153" s="70"/>
      <c r="AB153" s="86"/>
      <c r="AC153" s="71">
        <v>44344</v>
      </c>
      <c r="AD153" s="65"/>
      <c r="AE153" s="27"/>
      <c r="AF153" s="65"/>
      <c r="AG153" s="65"/>
    </row>
    <row r="154" spans="1:33" x14ac:dyDescent="0.25">
      <c r="A154" s="68">
        <v>154</v>
      </c>
      <c r="B154" s="71">
        <v>44341</v>
      </c>
      <c r="C154" s="65"/>
      <c r="D154" s="59"/>
      <c r="E154" s="65"/>
      <c r="F154" s="65">
        <v>1202101297</v>
      </c>
      <c r="G154" s="59"/>
      <c r="H154" s="65"/>
      <c r="I154" s="65" t="s">
        <v>536</v>
      </c>
      <c r="J154" s="27"/>
      <c r="K154" s="65" t="s">
        <v>485</v>
      </c>
      <c r="L154" s="65" t="s">
        <v>16</v>
      </c>
      <c r="M154" s="27"/>
      <c r="N154" s="65" t="s">
        <v>83</v>
      </c>
      <c r="O154" s="65" t="s">
        <v>140</v>
      </c>
      <c r="P154" s="66"/>
      <c r="Q154" s="65">
        <v>18.059999999999999</v>
      </c>
      <c r="R154" s="65"/>
      <c r="S154" s="69" t="s">
        <v>276</v>
      </c>
      <c r="T154" s="70"/>
      <c r="U154" s="70"/>
      <c r="V154" s="49"/>
      <c r="W154" s="70"/>
      <c r="X154" s="70"/>
      <c r="Y154" s="49"/>
      <c r="Z154" s="70"/>
      <c r="AA154" s="70"/>
      <c r="AB154" s="86"/>
      <c r="AC154" s="71">
        <v>44344</v>
      </c>
      <c r="AD154" s="65"/>
      <c r="AE154" s="27"/>
      <c r="AF154" s="65"/>
      <c r="AG154" s="65"/>
    </row>
    <row r="155" spans="1:33" x14ac:dyDescent="0.25">
      <c r="A155" s="68">
        <v>155</v>
      </c>
      <c r="B155" s="71">
        <v>44341</v>
      </c>
      <c r="C155" s="65"/>
      <c r="D155" s="59"/>
      <c r="E155" s="65"/>
      <c r="F155" s="65">
        <v>1202101296</v>
      </c>
      <c r="G155" s="59"/>
      <c r="H155" s="65"/>
      <c r="I155" s="65" t="s">
        <v>537</v>
      </c>
      <c r="J155" s="27"/>
      <c r="K155" s="65" t="s">
        <v>485</v>
      </c>
      <c r="L155" s="65" t="s">
        <v>16</v>
      </c>
      <c r="M155" s="27"/>
      <c r="N155" s="65" t="s">
        <v>83</v>
      </c>
      <c r="O155" s="65" t="s">
        <v>140</v>
      </c>
      <c r="P155" s="66"/>
      <c r="Q155" s="65">
        <v>13.22</v>
      </c>
      <c r="R155" s="65"/>
      <c r="S155" s="69" t="s">
        <v>276</v>
      </c>
      <c r="T155" s="70"/>
      <c r="U155" s="70"/>
      <c r="V155" s="49"/>
      <c r="W155" s="70"/>
      <c r="X155" s="70"/>
      <c r="Y155" s="49"/>
      <c r="Z155" s="70"/>
      <c r="AA155" s="70"/>
      <c r="AB155" s="86"/>
      <c r="AC155" s="71">
        <v>44344</v>
      </c>
      <c r="AD155" s="65"/>
      <c r="AE155" s="27"/>
      <c r="AF155" s="65"/>
      <c r="AG155" s="65"/>
    </row>
    <row r="156" spans="1:33" x14ac:dyDescent="0.25">
      <c r="A156" s="68">
        <v>156</v>
      </c>
      <c r="B156" s="71">
        <v>44341</v>
      </c>
      <c r="C156" s="65"/>
      <c r="D156" s="59"/>
      <c r="E156" s="65"/>
      <c r="F156" s="65">
        <v>2202105796</v>
      </c>
      <c r="G156" s="59"/>
      <c r="H156" s="65"/>
      <c r="I156" s="65" t="s">
        <v>538</v>
      </c>
      <c r="J156" s="27"/>
      <c r="K156" s="65" t="s">
        <v>30</v>
      </c>
      <c r="L156" s="65" t="s">
        <v>16</v>
      </c>
      <c r="M156" s="27"/>
      <c r="N156" s="65" t="s">
        <v>83</v>
      </c>
      <c r="O156" s="65" t="s">
        <v>497</v>
      </c>
      <c r="P156" s="66"/>
      <c r="Q156" s="65">
        <v>13.79</v>
      </c>
      <c r="R156" s="65"/>
      <c r="S156" s="69" t="s">
        <v>276</v>
      </c>
      <c r="T156" s="70"/>
      <c r="U156" s="70"/>
      <c r="V156" s="49"/>
      <c r="W156" s="70"/>
      <c r="X156" s="70"/>
      <c r="Y156" s="49"/>
      <c r="Z156" s="70"/>
      <c r="AA156" s="70"/>
      <c r="AB156" s="86"/>
      <c r="AC156" s="71">
        <v>44344</v>
      </c>
      <c r="AD156" s="65"/>
      <c r="AE156" s="27"/>
      <c r="AF156" s="65"/>
      <c r="AG156" s="65"/>
    </row>
    <row r="157" spans="1:33" x14ac:dyDescent="0.25">
      <c r="A157" s="68">
        <v>157</v>
      </c>
      <c r="B157" s="71">
        <v>44341</v>
      </c>
      <c r="C157" s="65"/>
      <c r="D157" s="59"/>
      <c r="E157" s="65"/>
      <c r="F157" s="65">
        <v>2202105794</v>
      </c>
      <c r="G157" s="59"/>
      <c r="H157" s="65"/>
      <c r="I157" s="65" t="s">
        <v>539</v>
      </c>
      <c r="J157" s="27"/>
      <c r="K157" s="65" t="s">
        <v>30</v>
      </c>
      <c r="L157" s="65" t="s">
        <v>16</v>
      </c>
      <c r="M157" s="27"/>
      <c r="N157" s="65" t="s">
        <v>83</v>
      </c>
      <c r="O157" s="65" t="s">
        <v>497</v>
      </c>
      <c r="P157" s="66"/>
      <c r="Q157" s="65">
        <v>33.6</v>
      </c>
      <c r="R157" s="65"/>
      <c r="S157" s="69" t="s">
        <v>276</v>
      </c>
      <c r="T157" s="70"/>
      <c r="U157" s="70"/>
      <c r="V157" s="49"/>
      <c r="W157" s="70"/>
      <c r="X157" s="70"/>
      <c r="Y157" s="49"/>
      <c r="Z157" s="70"/>
      <c r="AA157" s="70"/>
      <c r="AB157" s="86"/>
      <c r="AC157" s="71">
        <v>44344</v>
      </c>
      <c r="AD157" s="65"/>
      <c r="AE157" s="27"/>
      <c r="AF157" s="65"/>
      <c r="AG157" s="65"/>
    </row>
    <row r="158" spans="1:33" x14ac:dyDescent="0.25">
      <c r="A158" s="68">
        <v>158</v>
      </c>
      <c r="B158" s="71">
        <v>44341</v>
      </c>
      <c r="C158" s="65"/>
      <c r="D158" s="59"/>
      <c r="E158" s="65"/>
      <c r="F158" s="65">
        <v>2202105895</v>
      </c>
      <c r="G158" s="59"/>
      <c r="H158" s="65"/>
      <c r="I158" s="65" t="s">
        <v>540</v>
      </c>
      <c r="J158" s="27"/>
      <c r="K158" s="65" t="s">
        <v>386</v>
      </c>
      <c r="L158" s="65" t="s">
        <v>25</v>
      </c>
      <c r="M158" s="27"/>
      <c r="N158" s="65" t="s">
        <v>83</v>
      </c>
      <c r="O158" s="65" t="s">
        <v>132</v>
      </c>
      <c r="P158" s="66"/>
      <c r="Q158" s="65">
        <v>46</v>
      </c>
      <c r="R158" s="65"/>
      <c r="S158" s="69" t="s">
        <v>276</v>
      </c>
      <c r="T158" s="70"/>
      <c r="U158" s="70"/>
      <c r="V158" s="49"/>
      <c r="W158" s="70"/>
      <c r="X158" s="70"/>
      <c r="Y158" s="49"/>
      <c r="Z158" s="70"/>
      <c r="AA158" s="70"/>
      <c r="AB158" s="86"/>
      <c r="AC158" s="71">
        <v>44344</v>
      </c>
      <c r="AD158" s="65"/>
      <c r="AE158" s="27"/>
      <c r="AF158" s="65"/>
      <c r="AG158" s="65"/>
    </row>
    <row r="159" spans="1:33" x14ac:dyDescent="0.25">
      <c r="A159" s="68">
        <v>159</v>
      </c>
      <c r="B159" s="71">
        <v>44341</v>
      </c>
      <c r="C159" s="65"/>
      <c r="D159" s="59"/>
      <c r="E159" s="65"/>
      <c r="F159" s="65">
        <v>2202105888</v>
      </c>
      <c r="G159" s="59"/>
      <c r="H159" s="65"/>
      <c r="I159" s="65" t="s">
        <v>541</v>
      </c>
      <c r="J159" s="27"/>
      <c r="K159" s="65" t="s">
        <v>386</v>
      </c>
      <c r="L159" s="65" t="s">
        <v>25</v>
      </c>
      <c r="M159" s="27"/>
      <c r="N159" s="65" t="s">
        <v>83</v>
      </c>
      <c r="O159" s="65" t="s">
        <v>132</v>
      </c>
      <c r="P159" s="66"/>
      <c r="Q159" s="65">
        <v>63.72</v>
      </c>
      <c r="R159" s="65"/>
      <c r="S159" s="69" t="s">
        <v>276</v>
      </c>
      <c r="T159" s="70"/>
      <c r="U159" s="70"/>
      <c r="V159" s="49"/>
      <c r="W159" s="70"/>
      <c r="X159" s="70"/>
      <c r="Y159" s="49"/>
      <c r="Z159" s="70"/>
      <c r="AA159" s="70"/>
      <c r="AB159" s="86"/>
      <c r="AC159" s="71">
        <v>44344</v>
      </c>
      <c r="AD159" s="65"/>
      <c r="AE159" s="27"/>
      <c r="AF159" s="65"/>
      <c r="AG159" s="65"/>
    </row>
    <row r="160" spans="1:33" x14ac:dyDescent="0.25">
      <c r="A160" s="68">
        <v>160</v>
      </c>
      <c r="B160" s="71">
        <v>44341</v>
      </c>
      <c r="C160" s="65"/>
      <c r="D160" s="59"/>
      <c r="E160" s="65"/>
      <c r="F160" s="65">
        <v>2202105893</v>
      </c>
      <c r="G160" s="59"/>
      <c r="H160" s="65"/>
      <c r="I160" s="65" t="s">
        <v>542</v>
      </c>
      <c r="J160" s="27"/>
      <c r="K160" s="65" t="s">
        <v>371</v>
      </c>
      <c r="L160" s="65" t="s">
        <v>25</v>
      </c>
      <c r="M160" s="27"/>
      <c r="N160" s="65" t="s">
        <v>83</v>
      </c>
      <c r="O160" s="65" t="s">
        <v>136</v>
      </c>
      <c r="P160" s="66"/>
      <c r="Q160" s="65">
        <v>16</v>
      </c>
      <c r="R160" s="65"/>
      <c r="S160" s="69" t="s">
        <v>276</v>
      </c>
      <c r="T160" s="70"/>
      <c r="U160" s="70"/>
      <c r="V160" s="49"/>
      <c r="W160" s="70"/>
      <c r="X160" s="70"/>
      <c r="Y160" s="49"/>
      <c r="Z160" s="70"/>
      <c r="AA160" s="70"/>
      <c r="AB160" s="86"/>
      <c r="AC160" s="71">
        <v>44344</v>
      </c>
      <c r="AD160" s="65"/>
      <c r="AE160" s="27"/>
      <c r="AF160" s="65"/>
      <c r="AG160" s="65"/>
    </row>
    <row r="161" spans="1:33" x14ac:dyDescent="0.25">
      <c r="A161" s="68">
        <v>161</v>
      </c>
      <c r="B161" s="71">
        <v>44341</v>
      </c>
      <c r="C161" s="65"/>
      <c r="D161" s="59"/>
      <c r="E161" s="65"/>
      <c r="F161" s="65">
        <v>2202105882</v>
      </c>
      <c r="G161" s="59"/>
      <c r="H161" s="65"/>
      <c r="I161" s="65" t="s">
        <v>543</v>
      </c>
      <c r="J161" s="27"/>
      <c r="K161" s="65" t="s">
        <v>544</v>
      </c>
      <c r="L161" s="65" t="s">
        <v>25</v>
      </c>
      <c r="M161" s="27"/>
      <c r="N161" s="65" t="s">
        <v>83</v>
      </c>
      <c r="O161" s="65" t="s">
        <v>136</v>
      </c>
      <c r="P161" s="66"/>
      <c r="Q161" s="65">
        <v>77.5</v>
      </c>
      <c r="R161" s="65"/>
      <c r="S161" s="69" t="s">
        <v>276</v>
      </c>
      <c r="T161" s="70"/>
      <c r="U161" s="70"/>
      <c r="V161" s="49"/>
      <c r="W161" s="70"/>
      <c r="X161" s="70"/>
      <c r="Y161" s="49"/>
      <c r="Z161" s="70"/>
      <c r="AA161" s="70"/>
      <c r="AB161" s="86"/>
      <c r="AC161" s="71">
        <v>44344</v>
      </c>
      <c r="AD161" s="65"/>
      <c r="AE161" s="27"/>
      <c r="AF161" s="65"/>
      <c r="AG161" s="65"/>
    </row>
    <row r="162" spans="1:33" x14ac:dyDescent="0.25">
      <c r="A162" s="68">
        <v>162</v>
      </c>
      <c r="B162" s="71">
        <v>44341</v>
      </c>
      <c r="C162" s="65"/>
      <c r="D162" s="59"/>
      <c r="E162" s="65"/>
      <c r="F162" s="65">
        <v>2202105871</v>
      </c>
      <c r="G162" s="59"/>
      <c r="H162" s="65"/>
      <c r="I162" s="65" t="s">
        <v>545</v>
      </c>
      <c r="J162" s="27"/>
      <c r="K162" s="65" t="s">
        <v>544</v>
      </c>
      <c r="L162" s="65" t="s">
        <v>25</v>
      </c>
      <c r="M162" s="27"/>
      <c r="N162" s="65" t="s">
        <v>83</v>
      </c>
      <c r="O162" s="65" t="s">
        <v>136</v>
      </c>
      <c r="P162" s="66"/>
      <c r="Q162" s="65">
        <v>72.599999999999994</v>
      </c>
      <c r="R162" s="65"/>
      <c r="S162" s="69" t="s">
        <v>276</v>
      </c>
      <c r="T162" s="70"/>
      <c r="U162" s="70"/>
      <c r="V162" s="49"/>
      <c r="W162" s="70"/>
      <c r="X162" s="70"/>
      <c r="Y162" s="49"/>
      <c r="Z162" s="70"/>
      <c r="AA162" s="70"/>
      <c r="AB162" s="86"/>
      <c r="AC162" s="71">
        <v>44344</v>
      </c>
      <c r="AD162" s="65"/>
      <c r="AE162" s="27"/>
      <c r="AF162" s="65"/>
      <c r="AG162" s="65"/>
    </row>
    <row r="163" spans="1:33" x14ac:dyDescent="0.25">
      <c r="A163" s="68">
        <v>163</v>
      </c>
      <c r="B163" s="71">
        <v>44341</v>
      </c>
      <c r="C163" s="65"/>
      <c r="D163" s="59"/>
      <c r="E163" s="65"/>
      <c r="F163" s="65">
        <v>2202105869</v>
      </c>
      <c r="G163" s="59"/>
      <c r="H163" s="65"/>
      <c r="I163" s="65" t="s">
        <v>546</v>
      </c>
      <c r="J163" s="27"/>
      <c r="K163" s="65" t="s">
        <v>544</v>
      </c>
      <c r="L163" s="65" t="s">
        <v>25</v>
      </c>
      <c r="M163" s="27"/>
      <c r="N163" s="65" t="s">
        <v>83</v>
      </c>
      <c r="O163" s="65" t="s">
        <v>136</v>
      </c>
      <c r="P163" s="66"/>
      <c r="Q163" s="65">
        <v>96.8</v>
      </c>
      <c r="R163" s="65"/>
      <c r="S163" s="69" t="s">
        <v>546</v>
      </c>
      <c r="T163" s="70"/>
      <c r="U163" s="70"/>
      <c r="V163" s="49"/>
      <c r="W163" s="70"/>
      <c r="X163" s="70"/>
      <c r="Y163" s="49"/>
      <c r="Z163" s="70"/>
      <c r="AA163" s="70"/>
      <c r="AB163" s="86"/>
      <c r="AC163" s="71">
        <v>44344</v>
      </c>
      <c r="AD163" s="65"/>
      <c r="AE163" s="27"/>
      <c r="AF163" s="65"/>
      <c r="AG163" s="65"/>
    </row>
    <row r="164" spans="1:33" x14ac:dyDescent="0.25">
      <c r="A164" s="68">
        <v>164</v>
      </c>
      <c r="B164" s="71">
        <v>44341</v>
      </c>
      <c r="C164" s="65"/>
      <c r="D164" s="59"/>
      <c r="E164" s="65"/>
      <c r="F164" s="65">
        <v>2202105889</v>
      </c>
      <c r="G164" s="59"/>
      <c r="H164" s="65"/>
      <c r="I164" s="65" t="s">
        <v>541</v>
      </c>
      <c r="J164" s="27"/>
      <c r="K164" s="65" t="s">
        <v>386</v>
      </c>
      <c r="L164" s="65" t="s">
        <v>25</v>
      </c>
      <c r="M164" s="27"/>
      <c r="N164" s="65" t="s">
        <v>83</v>
      </c>
      <c r="O164" s="65" t="s">
        <v>132</v>
      </c>
      <c r="P164" s="66"/>
      <c r="Q164" s="65">
        <v>20.28</v>
      </c>
      <c r="R164" s="65"/>
      <c r="S164" s="69" t="s">
        <v>276</v>
      </c>
      <c r="T164" s="70"/>
      <c r="U164" s="70"/>
      <c r="V164" s="49"/>
      <c r="W164" s="70"/>
      <c r="X164" s="70"/>
      <c r="Y164" s="49"/>
      <c r="Z164" s="70"/>
      <c r="AA164" s="70"/>
      <c r="AB164" s="86"/>
      <c r="AC164" s="71">
        <v>44344</v>
      </c>
      <c r="AD164" s="65"/>
      <c r="AE164" s="27"/>
      <c r="AF164" s="65"/>
      <c r="AG164" s="65"/>
    </row>
    <row r="165" spans="1:33" x14ac:dyDescent="0.25">
      <c r="A165" s="68">
        <v>165</v>
      </c>
      <c r="B165" s="71">
        <v>44341</v>
      </c>
      <c r="C165" s="65"/>
      <c r="D165" s="59"/>
      <c r="E165" s="65"/>
      <c r="F165" s="65">
        <v>2202105894</v>
      </c>
      <c r="G165" s="59"/>
      <c r="H165" s="65"/>
      <c r="I165" s="65" t="s">
        <v>542</v>
      </c>
      <c r="J165" s="27"/>
      <c r="K165" s="65" t="s">
        <v>371</v>
      </c>
      <c r="L165" s="65" t="s">
        <v>25</v>
      </c>
      <c r="M165" s="27"/>
      <c r="N165" s="65" t="s">
        <v>83</v>
      </c>
      <c r="O165" s="65" t="s">
        <v>136</v>
      </c>
      <c r="P165" s="66"/>
      <c r="Q165" s="65">
        <v>48.4</v>
      </c>
      <c r="R165" s="65"/>
      <c r="S165" s="69" t="s">
        <v>276</v>
      </c>
      <c r="T165" s="70"/>
      <c r="U165" s="70"/>
      <c r="V165" s="49"/>
      <c r="W165" s="70"/>
      <c r="X165" s="70"/>
      <c r="Y165" s="49"/>
      <c r="Z165" s="70"/>
      <c r="AA165" s="70"/>
      <c r="AB165" s="86"/>
      <c r="AC165" s="71">
        <v>44344</v>
      </c>
      <c r="AD165" s="65"/>
      <c r="AE165" s="27"/>
      <c r="AF165" s="65"/>
      <c r="AG165" s="65"/>
    </row>
    <row r="166" spans="1:33" x14ac:dyDescent="0.25">
      <c r="A166" s="68">
        <v>166</v>
      </c>
      <c r="B166" s="71">
        <v>44341</v>
      </c>
      <c r="C166" s="65"/>
      <c r="D166" s="59"/>
      <c r="E166" s="65"/>
      <c r="F166" s="65">
        <v>2202105885</v>
      </c>
      <c r="G166" s="59"/>
      <c r="H166" s="65"/>
      <c r="I166" s="65" t="s">
        <v>547</v>
      </c>
      <c r="J166" s="27"/>
      <c r="K166" s="65" t="s">
        <v>544</v>
      </c>
      <c r="L166" s="65" t="s">
        <v>25</v>
      </c>
      <c r="M166" s="27"/>
      <c r="N166" s="65" t="s">
        <v>83</v>
      </c>
      <c r="O166" s="65" t="s">
        <v>136</v>
      </c>
      <c r="P166" s="66"/>
      <c r="Q166" s="65">
        <v>45</v>
      </c>
      <c r="R166" s="65"/>
      <c r="S166" s="69" t="s">
        <v>276</v>
      </c>
      <c r="T166" s="70"/>
      <c r="U166" s="70"/>
      <c r="V166" s="49"/>
      <c r="W166" s="70"/>
      <c r="X166" s="70"/>
      <c r="Y166" s="49"/>
      <c r="Z166" s="70"/>
      <c r="AA166" s="70"/>
      <c r="AB166" s="86"/>
      <c r="AC166" s="71">
        <v>44344</v>
      </c>
      <c r="AD166" s="65"/>
      <c r="AE166" s="27"/>
      <c r="AF166" s="65"/>
      <c r="AG166" s="65"/>
    </row>
    <row r="167" spans="1:33" x14ac:dyDescent="0.25">
      <c r="A167" s="68">
        <v>167</v>
      </c>
      <c r="B167" s="71">
        <v>44342</v>
      </c>
      <c r="C167" s="65"/>
      <c r="D167" s="59"/>
      <c r="E167" s="65"/>
      <c r="F167" s="65">
        <v>2202104607</v>
      </c>
      <c r="G167" s="59"/>
      <c r="H167" s="65"/>
      <c r="I167" s="65" t="s">
        <v>413</v>
      </c>
      <c r="J167" s="27"/>
      <c r="K167" s="65" t="s">
        <v>356</v>
      </c>
      <c r="L167" s="65" t="s">
        <v>9</v>
      </c>
      <c r="M167" s="27"/>
      <c r="N167" s="65" t="s">
        <v>83</v>
      </c>
      <c r="O167" s="65" t="s">
        <v>133</v>
      </c>
      <c r="P167" s="66"/>
      <c r="Q167" s="65">
        <v>310</v>
      </c>
      <c r="R167" s="65"/>
      <c r="S167" s="69" t="s">
        <v>276</v>
      </c>
      <c r="T167" s="70"/>
      <c r="U167" s="70"/>
      <c r="V167" s="49"/>
      <c r="W167" s="70"/>
      <c r="X167" s="70"/>
      <c r="Y167" s="49"/>
      <c r="Z167" s="70"/>
      <c r="AA167" s="70"/>
      <c r="AB167" s="86"/>
      <c r="AC167" s="71">
        <v>44344</v>
      </c>
      <c r="AD167" s="65"/>
      <c r="AE167" s="27"/>
      <c r="AF167" s="65"/>
      <c r="AG167" s="65"/>
    </row>
    <row r="168" spans="1:33" x14ac:dyDescent="0.25">
      <c r="A168" s="68">
        <v>168</v>
      </c>
      <c r="B168" s="71">
        <v>44343</v>
      </c>
      <c r="C168" s="65"/>
      <c r="D168" s="59"/>
      <c r="E168" s="65"/>
      <c r="F168" s="65">
        <v>2202105991</v>
      </c>
      <c r="G168" s="59"/>
      <c r="H168" s="65"/>
      <c r="I168" s="65" t="s">
        <v>548</v>
      </c>
      <c r="J168" s="27"/>
      <c r="K168" s="65" t="s">
        <v>359</v>
      </c>
      <c r="L168" s="65" t="s">
        <v>12</v>
      </c>
      <c r="M168" s="27"/>
      <c r="N168" s="65" t="s">
        <v>83</v>
      </c>
      <c r="O168" s="65" t="s">
        <v>474</v>
      </c>
      <c r="P168" s="66"/>
      <c r="Q168" s="65">
        <v>580</v>
      </c>
      <c r="R168" s="65"/>
      <c r="S168" s="69" t="s">
        <v>276</v>
      </c>
      <c r="T168" s="70"/>
      <c r="U168" s="70"/>
      <c r="V168" s="49"/>
      <c r="W168" s="70"/>
      <c r="X168" s="70"/>
      <c r="Y168" s="49"/>
      <c r="Z168" s="70"/>
      <c r="AA168" s="70"/>
      <c r="AB168" s="86"/>
      <c r="AC168" s="71">
        <v>44344</v>
      </c>
      <c r="AD168" s="65"/>
      <c r="AE168" s="27"/>
      <c r="AF168" s="65"/>
      <c r="AG168" s="65"/>
    </row>
    <row r="169" spans="1:33" x14ac:dyDescent="0.25">
      <c r="A169" s="68">
        <v>169</v>
      </c>
      <c r="B169" s="71">
        <v>44343</v>
      </c>
      <c r="C169" s="65"/>
      <c r="D169" s="59"/>
      <c r="E169" s="65"/>
      <c r="F169" s="65">
        <v>2202106140</v>
      </c>
      <c r="G169" s="59"/>
      <c r="H169" s="65"/>
      <c r="I169" s="65" t="s">
        <v>549</v>
      </c>
      <c r="J169" s="27"/>
      <c r="K169" s="65" t="s">
        <v>550</v>
      </c>
      <c r="L169" s="65" t="s">
        <v>12</v>
      </c>
      <c r="M169" s="27"/>
      <c r="N169" s="65" t="s">
        <v>83</v>
      </c>
      <c r="O169" s="65" t="s">
        <v>474</v>
      </c>
      <c r="P169" s="66"/>
      <c r="Q169" s="65">
        <v>78.3</v>
      </c>
      <c r="R169" s="65"/>
      <c r="S169" s="69" t="s">
        <v>276</v>
      </c>
      <c r="T169" s="70"/>
      <c r="U169" s="70"/>
      <c r="V169" s="49"/>
      <c r="W169" s="70"/>
      <c r="X169" s="70"/>
      <c r="Y169" s="49"/>
      <c r="Z169" s="70"/>
      <c r="AA169" s="70"/>
      <c r="AB169" s="86"/>
      <c r="AC169" s="71">
        <v>44344</v>
      </c>
      <c r="AD169" s="65"/>
      <c r="AE169" s="27"/>
      <c r="AF169" s="65"/>
      <c r="AG169" s="65"/>
    </row>
    <row r="170" spans="1:33" x14ac:dyDescent="0.25">
      <c r="A170" s="68">
        <v>170</v>
      </c>
      <c r="B170" s="71">
        <v>44343</v>
      </c>
      <c r="C170" s="65"/>
      <c r="D170" s="59"/>
      <c r="E170" s="65"/>
      <c r="F170" s="65">
        <v>2202106178</v>
      </c>
      <c r="G170" s="59"/>
      <c r="H170" s="65"/>
      <c r="I170" s="65" t="s">
        <v>551</v>
      </c>
      <c r="J170" s="27"/>
      <c r="K170" s="65" t="s">
        <v>552</v>
      </c>
      <c r="L170" s="65" t="s">
        <v>12</v>
      </c>
      <c r="M170" s="27"/>
      <c r="N170" s="65" t="s">
        <v>83</v>
      </c>
      <c r="O170" s="65" t="s">
        <v>474</v>
      </c>
      <c r="P170" s="66"/>
      <c r="Q170" s="65">
        <v>177.8</v>
      </c>
      <c r="R170" s="65"/>
      <c r="S170" s="69" t="s">
        <v>276</v>
      </c>
      <c r="T170" s="70"/>
      <c r="U170" s="70"/>
      <c r="V170" s="49"/>
      <c r="W170" s="70"/>
      <c r="X170" s="70"/>
      <c r="Y170" s="49"/>
      <c r="Z170" s="70"/>
      <c r="AA170" s="70"/>
      <c r="AB170" s="86"/>
      <c r="AC170" s="71">
        <v>44344</v>
      </c>
      <c r="AD170" s="65"/>
      <c r="AE170" s="27"/>
      <c r="AF170" s="65"/>
      <c r="AG170" s="65"/>
    </row>
    <row r="171" spans="1:33" x14ac:dyDescent="0.25">
      <c r="A171" s="68">
        <v>171</v>
      </c>
      <c r="B171" s="71">
        <v>44343</v>
      </c>
      <c r="C171" s="65"/>
      <c r="D171" s="59"/>
      <c r="E171" s="65"/>
      <c r="F171" s="65">
        <v>2202106146</v>
      </c>
      <c r="G171" s="59"/>
      <c r="H171" s="65"/>
      <c r="I171" s="65" t="s">
        <v>553</v>
      </c>
      <c r="J171" s="27"/>
      <c r="K171" s="65" t="s">
        <v>552</v>
      </c>
      <c r="L171" s="65" t="s">
        <v>12</v>
      </c>
      <c r="M171" s="27"/>
      <c r="N171" s="65" t="s">
        <v>83</v>
      </c>
      <c r="O171" s="65" t="s">
        <v>474</v>
      </c>
      <c r="P171" s="66"/>
      <c r="Q171" s="65">
        <v>12</v>
      </c>
      <c r="R171" s="65"/>
      <c r="S171" s="69" t="s">
        <v>276</v>
      </c>
      <c r="T171" s="70"/>
      <c r="U171" s="70"/>
      <c r="V171" s="49"/>
      <c r="W171" s="70"/>
      <c r="X171" s="70"/>
      <c r="Y171" s="49"/>
      <c r="Z171" s="70"/>
      <c r="AA171" s="70"/>
      <c r="AB171" s="86"/>
      <c r="AC171" s="71">
        <v>44344</v>
      </c>
      <c r="AD171" s="65"/>
      <c r="AE171" s="27"/>
      <c r="AF171" s="65"/>
      <c r="AG171" s="65"/>
    </row>
    <row r="172" spans="1:33" x14ac:dyDescent="0.25">
      <c r="A172" s="68">
        <v>172</v>
      </c>
      <c r="B172" s="71">
        <v>44343</v>
      </c>
      <c r="C172" s="65"/>
      <c r="D172" s="59"/>
      <c r="E172" s="65"/>
      <c r="F172" s="65">
        <v>2202106198</v>
      </c>
      <c r="G172" s="59"/>
      <c r="H172" s="65"/>
      <c r="I172" s="65" t="s">
        <v>554</v>
      </c>
      <c r="J172" s="27"/>
      <c r="K172" s="65" t="s">
        <v>416</v>
      </c>
      <c r="L172" s="65" t="s">
        <v>9</v>
      </c>
      <c r="M172" s="27"/>
      <c r="N172" s="65" t="s">
        <v>83</v>
      </c>
      <c r="O172" s="65" t="s">
        <v>478</v>
      </c>
      <c r="P172" s="66"/>
      <c r="Q172" s="65">
        <v>110</v>
      </c>
      <c r="R172" s="65"/>
      <c r="S172" s="69" t="s">
        <v>276</v>
      </c>
      <c r="T172" s="70"/>
      <c r="U172" s="70"/>
      <c r="V172" s="49"/>
      <c r="W172" s="70"/>
      <c r="X172" s="70"/>
      <c r="Y172" s="49"/>
      <c r="Z172" s="70"/>
      <c r="AA172" s="70"/>
      <c r="AB172" s="86"/>
      <c r="AC172" s="71">
        <v>44344</v>
      </c>
      <c r="AD172" s="65"/>
      <c r="AE172" s="27"/>
      <c r="AF172" s="65"/>
      <c r="AG172" s="65"/>
    </row>
    <row r="173" spans="1:33" x14ac:dyDescent="0.25">
      <c r="A173" s="68">
        <v>173</v>
      </c>
      <c r="B173" s="71">
        <v>44343</v>
      </c>
      <c r="C173" s="65"/>
      <c r="D173" s="59"/>
      <c r="E173" s="65"/>
      <c r="F173" s="65">
        <v>2202106100</v>
      </c>
      <c r="G173" s="59"/>
      <c r="H173" s="65"/>
      <c r="I173" s="65" t="s">
        <v>555</v>
      </c>
      <c r="J173" s="27"/>
      <c r="K173" s="65" t="s">
        <v>379</v>
      </c>
      <c r="L173" s="65" t="s">
        <v>9</v>
      </c>
      <c r="M173" s="27"/>
      <c r="N173" s="65" t="s">
        <v>83</v>
      </c>
      <c r="O173" s="65" t="s">
        <v>556</v>
      </c>
      <c r="P173" s="66"/>
      <c r="Q173" s="65">
        <v>109</v>
      </c>
      <c r="R173" s="65"/>
      <c r="S173" s="69" t="s">
        <v>276</v>
      </c>
      <c r="T173" s="70"/>
      <c r="U173" s="70"/>
      <c r="V173" s="49"/>
      <c r="W173" s="70"/>
      <c r="X173" s="70"/>
      <c r="Y173" s="49"/>
      <c r="Z173" s="70"/>
      <c r="AA173" s="70"/>
      <c r="AB173" s="86"/>
      <c r="AC173" s="71">
        <v>44344</v>
      </c>
      <c r="AD173" s="65"/>
      <c r="AE173" s="27"/>
      <c r="AF173" s="65"/>
      <c r="AG173" s="65"/>
    </row>
    <row r="174" spans="1:33" x14ac:dyDescent="0.25">
      <c r="A174" s="68">
        <v>174</v>
      </c>
      <c r="B174" s="71">
        <v>44343</v>
      </c>
      <c r="C174" s="65"/>
      <c r="D174" s="59"/>
      <c r="E174" s="65"/>
      <c r="F174" s="65">
        <v>2202106103</v>
      </c>
      <c r="G174" s="59"/>
      <c r="H174" s="65"/>
      <c r="I174" s="65" t="s">
        <v>557</v>
      </c>
      <c r="J174" s="27"/>
      <c r="K174" s="65" t="s">
        <v>379</v>
      </c>
      <c r="L174" s="65" t="s">
        <v>9</v>
      </c>
      <c r="M174" s="27"/>
      <c r="N174" s="65" t="s">
        <v>83</v>
      </c>
      <c r="O174" s="65" t="s">
        <v>478</v>
      </c>
      <c r="P174" s="66"/>
      <c r="Q174" s="65">
        <v>110</v>
      </c>
      <c r="R174" s="65"/>
      <c r="S174" s="69" t="s">
        <v>276</v>
      </c>
      <c r="T174" s="70"/>
      <c r="U174" s="70"/>
      <c r="V174" s="49"/>
      <c r="W174" s="70"/>
      <c r="X174" s="70"/>
      <c r="Y174" s="49"/>
      <c r="Z174" s="70"/>
      <c r="AA174" s="70"/>
      <c r="AB174" s="86"/>
      <c r="AC174" s="71">
        <v>44344</v>
      </c>
      <c r="AD174" s="65"/>
      <c r="AE174" s="27"/>
      <c r="AF174" s="65"/>
      <c r="AG174" s="65"/>
    </row>
    <row r="175" spans="1:33" x14ac:dyDescent="0.25">
      <c r="A175" s="68">
        <v>175</v>
      </c>
      <c r="B175" s="71">
        <v>44343</v>
      </c>
      <c r="C175" s="65"/>
      <c r="D175" s="59"/>
      <c r="E175" s="65"/>
      <c r="F175" s="65">
        <v>2202106063</v>
      </c>
      <c r="G175" s="59"/>
      <c r="H175" s="65"/>
      <c r="I175" s="65" t="s">
        <v>558</v>
      </c>
      <c r="J175" s="27"/>
      <c r="K175" s="65" t="s">
        <v>344</v>
      </c>
      <c r="L175" s="65" t="s">
        <v>25</v>
      </c>
      <c r="M175" s="27"/>
      <c r="N175" s="65" t="s">
        <v>83</v>
      </c>
      <c r="O175" s="65" t="s">
        <v>559</v>
      </c>
      <c r="P175" s="66"/>
      <c r="Q175" s="65">
        <v>48.4</v>
      </c>
      <c r="R175" s="65"/>
      <c r="S175" s="69" t="s">
        <v>276</v>
      </c>
      <c r="T175" s="70"/>
      <c r="U175" s="70"/>
      <c r="V175" s="49"/>
      <c r="W175" s="70"/>
      <c r="X175" s="70"/>
      <c r="Y175" s="49"/>
      <c r="Z175" s="70"/>
      <c r="AA175" s="70"/>
      <c r="AB175" s="86"/>
      <c r="AC175" s="71">
        <v>44344</v>
      </c>
      <c r="AD175" s="65"/>
      <c r="AE175" s="27"/>
      <c r="AF175" s="65"/>
      <c r="AG175" s="65"/>
    </row>
    <row r="176" spans="1:33" x14ac:dyDescent="0.25">
      <c r="A176" s="68">
        <v>176</v>
      </c>
      <c r="B176" s="71">
        <v>44343</v>
      </c>
      <c r="C176" s="65"/>
      <c r="D176" s="59"/>
      <c r="E176" s="65"/>
      <c r="F176" s="65">
        <v>2202106091</v>
      </c>
      <c r="G176" s="59"/>
      <c r="H176" s="65"/>
      <c r="I176" s="65" t="s">
        <v>560</v>
      </c>
      <c r="J176" s="27"/>
      <c r="K176" s="65" t="s">
        <v>561</v>
      </c>
      <c r="L176" s="65" t="s">
        <v>25</v>
      </c>
      <c r="M176" s="27"/>
      <c r="N176" s="65" t="s">
        <v>83</v>
      </c>
      <c r="O176" s="65" t="s">
        <v>562</v>
      </c>
      <c r="P176" s="66"/>
      <c r="Q176" s="65">
        <v>76.3</v>
      </c>
      <c r="R176" s="65"/>
      <c r="S176" s="69" t="s">
        <v>276</v>
      </c>
      <c r="T176" s="70"/>
      <c r="U176" s="70"/>
      <c r="V176" s="49"/>
      <c r="W176" s="70"/>
      <c r="X176" s="70"/>
      <c r="Y176" s="49"/>
      <c r="Z176" s="70"/>
      <c r="AA176" s="70"/>
      <c r="AB176" s="86"/>
      <c r="AC176" s="71">
        <v>44344</v>
      </c>
      <c r="AD176" s="65"/>
      <c r="AE176" s="27"/>
      <c r="AF176" s="65"/>
      <c r="AG176" s="65"/>
    </row>
    <row r="177" spans="1:33" x14ac:dyDescent="0.25">
      <c r="A177" s="68">
        <v>177</v>
      </c>
      <c r="B177" s="71">
        <v>44343</v>
      </c>
      <c r="C177" s="65"/>
      <c r="D177" s="59"/>
      <c r="E177" s="65"/>
      <c r="F177" s="65">
        <v>2202106092</v>
      </c>
      <c r="G177" s="59"/>
      <c r="H177" s="65"/>
      <c r="I177" s="65" t="s">
        <v>560</v>
      </c>
      <c r="J177" s="27"/>
      <c r="K177" s="65" t="s">
        <v>561</v>
      </c>
      <c r="L177" s="65" t="s">
        <v>25</v>
      </c>
      <c r="M177" s="27"/>
      <c r="N177" s="65" t="s">
        <v>83</v>
      </c>
      <c r="O177" s="65" t="s">
        <v>562</v>
      </c>
      <c r="P177" s="66"/>
      <c r="Q177" s="65">
        <v>52.56</v>
      </c>
      <c r="R177" s="65"/>
      <c r="S177" s="69" t="s">
        <v>276</v>
      </c>
      <c r="T177" s="70"/>
      <c r="U177" s="70"/>
      <c r="V177" s="49"/>
      <c r="W177" s="70"/>
      <c r="X177" s="70"/>
      <c r="Y177" s="49"/>
      <c r="Z177" s="70"/>
      <c r="AA177" s="70"/>
      <c r="AB177" s="86"/>
      <c r="AC177" s="71">
        <v>44344</v>
      </c>
      <c r="AD177" s="65"/>
      <c r="AE177" s="27"/>
      <c r="AF177" s="65"/>
      <c r="AG177" s="65"/>
    </row>
    <row r="178" spans="1:33" x14ac:dyDescent="0.25">
      <c r="A178" s="68">
        <v>179</v>
      </c>
      <c r="B178" s="71">
        <v>44302</v>
      </c>
      <c r="C178" s="65"/>
      <c r="D178" s="59"/>
      <c r="E178" s="65"/>
      <c r="F178" s="65"/>
      <c r="G178" s="59">
        <v>1000100044424</v>
      </c>
      <c r="H178" s="65"/>
      <c r="I178" s="65" t="s">
        <v>563</v>
      </c>
      <c r="J178" s="27"/>
      <c r="K178" s="65" t="s">
        <v>564</v>
      </c>
      <c r="L178" s="65" t="s">
        <v>16</v>
      </c>
      <c r="M178" s="27"/>
      <c r="N178" s="65" t="s">
        <v>83</v>
      </c>
      <c r="O178" s="65" t="s">
        <v>149</v>
      </c>
      <c r="P178" s="66"/>
      <c r="Q178" s="65">
        <v>21</v>
      </c>
      <c r="R178" s="65"/>
      <c r="S178" s="69" t="s">
        <v>277</v>
      </c>
      <c r="T178" s="87"/>
      <c r="U178" s="87"/>
      <c r="V178" s="88"/>
      <c r="W178" s="87"/>
      <c r="X178" s="87"/>
      <c r="Y178" s="88"/>
      <c r="Z178" s="87"/>
      <c r="AA178" s="87"/>
      <c r="AB178" s="89"/>
      <c r="AC178" s="71">
        <v>44347</v>
      </c>
      <c r="AD178" s="71">
        <v>44302</v>
      </c>
      <c r="AE178" s="27"/>
      <c r="AF178" s="65"/>
      <c r="AG178" s="65"/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AH2"/>
  <sheetViews>
    <sheetView workbookViewId="0">
      <selection activeCell="A2" sqref="A2"/>
    </sheetView>
  </sheetViews>
  <sheetFormatPr defaultColWidth="9.140625" defaultRowHeight="15" x14ac:dyDescent="0.25"/>
  <cols>
    <col min="1" max="1" width="10.7109375" style="59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59" customWidth="1"/>
    <col min="8" max="8" width="16.140625" bestFit="1" customWidth="1"/>
    <col min="9" max="9" width="11.5703125" bestFit="1" customWidth="1"/>
    <col min="10" max="10" width="3.42578125" bestFit="1" customWidth="1"/>
    <col min="11" max="11" width="12.28515625" bestFit="1" customWidth="1"/>
    <col min="12" max="12" width="22.7109375" style="7" bestFit="1" customWidth="1"/>
    <col min="13" max="13" width="9.85546875" bestFit="1" customWidth="1"/>
    <col min="14" max="14" width="12.5703125" bestFit="1" customWidth="1"/>
    <col min="15" max="15" width="16" style="7" bestFit="1" customWidth="1"/>
    <col min="16" max="16" width="13.42578125" style="7" bestFit="1" customWidth="1"/>
    <col min="17" max="17" width="16.42578125" style="7" bestFit="1" customWidth="1"/>
    <col min="18" max="18" width="22.42578125" style="7" bestFit="1" customWidth="1"/>
    <col min="19" max="19" width="23" style="7" bestFit="1" customWidth="1"/>
    <col min="20" max="20" width="15.28515625" style="7" bestFit="1" customWidth="1"/>
    <col min="21" max="22" width="15.28515625" style="7" customWidth="1"/>
    <col min="23" max="23" width="22" style="7" customWidth="1"/>
    <col min="24" max="26" width="15.28515625" style="7" customWidth="1"/>
    <col min="27" max="27" width="17" style="7" bestFit="1" customWidth="1"/>
    <col min="28" max="28" width="21.5703125" style="7" bestFit="1" customWidth="1"/>
    <col min="29" max="29" width="15.28515625" style="7" customWidth="1"/>
    <col min="30" max="30" width="22.42578125" style="7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4" s="2" customFormat="1" ht="30" customHeight="1" x14ac:dyDescent="0.25">
      <c r="A1" s="59" t="s">
        <v>313</v>
      </c>
      <c r="B1" s="27" t="s">
        <v>311</v>
      </c>
      <c r="C1" s="27" t="s">
        <v>43</v>
      </c>
      <c r="D1" s="27" t="s">
        <v>44</v>
      </c>
      <c r="E1" s="27" t="s">
        <v>88</v>
      </c>
      <c r="F1" s="27" t="s">
        <v>45</v>
      </c>
      <c r="G1" s="59" t="s">
        <v>51</v>
      </c>
      <c r="H1" s="27" t="s">
        <v>46</v>
      </c>
      <c r="I1" s="27" t="s">
        <v>47</v>
      </c>
      <c r="J1" s="27" t="s">
        <v>48</v>
      </c>
      <c r="K1" s="27" t="s">
        <v>49</v>
      </c>
      <c r="L1" s="27" t="s">
        <v>50</v>
      </c>
      <c r="M1" s="27" t="s">
        <v>122</v>
      </c>
      <c r="N1" s="27" t="s">
        <v>123</v>
      </c>
      <c r="O1" s="27" t="s">
        <v>80</v>
      </c>
      <c r="P1" s="27" t="s">
        <v>115</v>
      </c>
      <c r="Q1" s="27" t="s">
        <v>124</v>
      </c>
      <c r="R1" s="27" t="s">
        <v>125</v>
      </c>
      <c r="S1" s="27" t="s">
        <v>97</v>
      </c>
      <c r="T1" s="27" t="s">
        <v>113</v>
      </c>
      <c r="U1" s="27" t="s">
        <v>66</v>
      </c>
      <c r="V1" s="27" t="s">
        <v>127</v>
      </c>
      <c r="W1" s="27" t="s">
        <v>85</v>
      </c>
      <c r="X1" s="27" t="s">
        <v>103</v>
      </c>
      <c r="Y1" s="27" t="s">
        <v>104</v>
      </c>
      <c r="Z1" s="27" t="s">
        <v>121</v>
      </c>
      <c r="AA1" s="27" t="s">
        <v>96</v>
      </c>
      <c r="AB1" s="27" t="s">
        <v>62</v>
      </c>
      <c r="AC1" s="27" t="s">
        <v>63</v>
      </c>
      <c r="AD1" s="27" t="s">
        <v>130</v>
      </c>
      <c r="AE1" s="27" t="s">
        <v>271</v>
      </c>
      <c r="AF1" s="27" t="s">
        <v>272</v>
      </c>
      <c r="AG1" s="27" t="s">
        <v>312</v>
      </c>
      <c r="AH1" s="66" t="s">
        <v>316</v>
      </c>
    </row>
    <row r="2" spans="1:34" x14ac:dyDescent="0.25">
      <c r="A2" s="64">
        <v>2</v>
      </c>
      <c r="B2" s="38">
        <v>44317</v>
      </c>
      <c r="C2" s="60"/>
      <c r="D2" s="60"/>
      <c r="E2" s="60"/>
      <c r="F2" s="60"/>
      <c r="G2" s="64">
        <v>112112</v>
      </c>
      <c r="H2" s="60" t="s">
        <v>334</v>
      </c>
      <c r="I2" s="60" t="s">
        <v>28</v>
      </c>
      <c r="J2" s="60" t="s">
        <v>16</v>
      </c>
      <c r="K2" s="8" t="s">
        <v>335</v>
      </c>
      <c r="L2" s="61" t="s">
        <v>153</v>
      </c>
      <c r="M2" s="61"/>
      <c r="N2" s="8"/>
      <c r="O2" s="61"/>
      <c r="P2" s="61"/>
      <c r="Q2" s="61"/>
      <c r="R2" s="61"/>
      <c r="S2" s="61"/>
      <c r="T2" s="61"/>
      <c r="U2" s="61"/>
      <c r="V2" s="61"/>
      <c r="W2" s="62" t="s">
        <v>273</v>
      </c>
      <c r="X2" s="61"/>
      <c r="Y2" s="61"/>
      <c r="Z2" s="61" t="s">
        <v>69</v>
      </c>
      <c r="AA2" s="63">
        <v>44339</v>
      </c>
      <c r="AB2" s="61"/>
      <c r="AC2" s="61"/>
      <c r="AD2" s="63">
        <v>44317</v>
      </c>
      <c r="AE2" s="63"/>
      <c r="AF2" s="63"/>
      <c r="AG2" s="8"/>
      <c r="AH2" s="6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5"/>
  <dimension ref="A1:H4"/>
  <sheetViews>
    <sheetView workbookViewId="0">
      <selection activeCell="A3" sqref="A3:XFD4"/>
    </sheetView>
  </sheetViews>
  <sheetFormatPr defaultRowHeight="15" x14ac:dyDescent="0.25"/>
  <cols>
    <col min="1" max="1" width="7.42578125" bestFit="1" customWidth="1"/>
    <col min="2" max="2" width="21" customWidth="1"/>
    <col min="3" max="3" width="19.5703125" customWidth="1"/>
    <col min="4" max="4" width="21.7109375" style="7" customWidth="1"/>
    <col min="5" max="5" width="14.140625" customWidth="1"/>
    <col min="6" max="6" width="25.85546875" style="28" bestFit="1" customWidth="1"/>
    <col min="7" max="7" width="20.28515625" customWidth="1"/>
    <col min="8" max="8" width="28.28515625" bestFit="1" customWidth="1"/>
  </cols>
  <sheetData>
    <row r="1" spans="1:8" x14ac:dyDescent="0.25">
      <c r="A1" s="74" t="s">
        <v>313</v>
      </c>
      <c r="B1" s="74" t="s">
        <v>319</v>
      </c>
      <c r="C1" s="74" t="s">
        <v>107</v>
      </c>
      <c r="D1" s="75" t="s">
        <v>304</v>
      </c>
      <c r="E1" s="74" t="s">
        <v>98</v>
      </c>
      <c r="F1" s="74" t="s">
        <v>105</v>
      </c>
      <c r="G1" s="74" t="s">
        <v>320</v>
      </c>
      <c r="H1" s="78" t="s">
        <v>318</v>
      </c>
    </row>
    <row r="2" spans="1:8" x14ac:dyDescent="0.25">
      <c r="A2" t="s">
        <v>321</v>
      </c>
      <c r="B2" s="1">
        <v>44335</v>
      </c>
      <c r="D2" s="7">
        <v>150</v>
      </c>
      <c r="E2" t="s">
        <v>99</v>
      </c>
      <c r="F2" s="28" t="s">
        <v>131</v>
      </c>
      <c r="H2" t="s">
        <v>328</v>
      </c>
    </row>
    <row r="4" spans="1:8" x14ac:dyDescent="0.25">
      <c r="B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3"/>
  <dimension ref="A1:I2"/>
  <sheetViews>
    <sheetView workbookViewId="0">
      <selection activeCell="D2" sqref="D2"/>
    </sheetView>
  </sheetViews>
  <sheetFormatPr defaultRowHeight="15" x14ac:dyDescent="0.25"/>
  <cols>
    <col min="1" max="1" width="2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  <col min="7" max="7" width="18.42578125" bestFit="1" customWidth="1"/>
    <col min="8" max="8" width="35" bestFit="1" customWidth="1"/>
  </cols>
  <sheetData>
    <row r="1" spans="1:9" x14ac:dyDescent="0.25">
      <c r="A1" s="27" t="s">
        <v>313</v>
      </c>
      <c r="B1" s="27" t="s">
        <v>106</v>
      </c>
      <c r="C1" s="27" t="s">
        <v>110</v>
      </c>
      <c r="D1" s="27" t="s">
        <v>304</v>
      </c>
      <c r="E1" s="27" t="s">
        <v>305</v>
      </c>
      <c r="F1" s="27" t="s">
        <v>306</v>
      </c>
      <c r="G1" s="27" t="s">
        <v>105</v>
      </c>
      <c r="H1" s="27" t="s">
        <v>107</v>
      </c>
      <c r="I1" s="27" t="s">
        <v>98</v>
      </c>
    </row>
    <row r="2" spans="1:9" x14ac:dyDescent="0.25">
      <c r="A2" s="27">
        <v>2</v>
      </c>
      <c r="B2" s="1">
        <v>44335</v>
      </c>
      <c r="C2" s="1">
        <v>44335</v>
      </c>
      <c r="D2" s="7">
        <v>0</v>
      </c>
      <c r="E2" t="s">
        <v>329</v>
      </c>
      <c r="F2" t="s">
        <v>330</v>
      </c>
      <c r="H2" t="s">
        <v>324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5"/>
  <dimension ref="A1:W2"/>
  <sheetViews>
    <sheetView workbookViewId="0">
      <selection activeCell="G2" sqref="G2"/>
    </sheetView>
  </sheetViews>
  <sheetFormatPr defaultRowHeight="15" x14ac:dyDescent="0.25"/>
  <cols>
    <col min="1" max="1" width="2.85546875" style="27" bestFit="1" customWidth="1"/>
    <col min="2" max="3" width="22.7109375" customWidth="1"/>
    <col min="4" max="4" width="22.7109375" style="22" customWidth="1"/>
    <col min="5" max="13" width="22.7109375" style="7" customWidth="1"/>
    <col min="14" max="17" width="22.7109375" customWidth="1"/>
    <col min="18" max="20" width="22.7109375" style="28" customWidth="1"/>
    <col min="21" max="21" width="22.7109375" customWidth="1"/>
    <col min="22" max="22" width="28.28515625" bestFit="1" customWidth="1"/>
    <col min="23" max="23" width="10.7109375" bestFit="1" customWidth="1"/>
  </cols>
  <sheetData>
    <row r="1" spans="1:23" s="27" customFormat="1" x14ac:dyDescent="0.25">
      <c r="A1" s="27" t="s">
        <v>313</v>
      </c>
      <c r="B1" s="27" t="s">
        <v>105</v>
      </c>
      <c r="C1" s="27" t="s">
        <v>51</v>
      </c>
      <c r="D1" s="27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118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84</v>
      </c>
      <c r="S1" s="27" t="s">
        <v>85</v>
      </c>
      <c r="T1" s="27" t="s">
        <v>43</v>
      </c>
      <c r="U1" s="27" t="s">
        <v>289</v>
      </c>
      <c r="V1" s="27" t="s">
        <v>290</v>
      </c>
      <c r="W1" s="27" t="s">
        <v>315</v>
      </c>
    </row>
    <row r="2" spans="1:23" x14ac:dyDescent="0.25">
      <c r="A2" s="27">
        <v>2</v>
      </c>
      <c r="B2" t="s">
        <v>141</v>
      </c>
      <c r="C2">
        <v>2010099954</v>
      </c>
      <c r="D2" s="22">
        <v>2010099954</v>
      </c>
      <c r="E2" s="83">
        <v>44296</v>
      </c>
      <c r="F2" s="13">
        <v>0</v>
      </c>
      <c r="G2" s="13">
        <v>480</v>
      </c>
      <c r="H2" s="13">
        <v>140.5</v>
      </c>
      <c r="I2" s="13">
        <v>0</v>
      </c>
      <c r="M2" s="13">
        <v>0</v>
      </c>
      <c r="N2" s="29">
        <v>976.5</v>
      </c>
      <c r="O2" s="1">
        <v>44335</v>
      </c>
      <c r="P2" t="s">
        <v>116</v>
      </c>
      <c r="Q2" t="s">
        <v>295</v>
      </c>
      <c r="R2" s="1">
        <v>44337</v>
      </c>
      <c r="S2" s="28" t="s">
        <v>274</v>
      </c>
      <c r="T2" s="28">
        <v>2519</v>
      </c>
      <c r="U2" s="29">
        <v>476.5</v>
      </c>
      <c r="V2" t="s">
        <v>331</v>
      </c>
      <c r="W2">
        <v>2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4"/>
  <dimension ref="A1:T2"/>
  <sheetViews>
    <sheetView topLeftCell="K1" workbookViewId="0">
      <selection activeCell="S1" sqref="B1:S1"/>
    </sheetView>
  </sheetViews>
  <sheetFormatPr defaultRowHeight="15" x14ac:dyDescent="0.25"/>
  <cols>
    <col min="1" max="1" width="16.42578125" style="27" customWidth="1"/>
    <col min="2" max="3" width="16.42578125" customWidth="1"/>
    <col min="4" max="4" width="13.7109375" style="5" bestFit="1" customWidth="1"/>
    <col min="5" max="5" width="19.140625" style="7" customWidth="1"/>
    <col min="6" max="6" width="16.5703125" style="7" customWidth="1"/>
    <col min="7" max="9" width="16.42578125" style="7" customWidth="1"/>
    <col min="10" max="10" width="19.7109375" style="7" customWidth="1"/>
    <col min="11" max="11" width="20.28515625" style="7" customWidth="1"/>
    <col min="12" max="13" width="16.42578125" style="7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27" t="s">
        <v>313</v>
      </c>
      <c r="B1" s="27" t="s">
        <v>105</v>
      </c>
      <c r="C1" s="27" t="s">
        <v>51</v>
      </c>
      <c r="D1" s="59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113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110</v>
      </c>
      <c r="S1" s="27" t="s">
        <v>85</v>
      </c>
      <c r="T1" s="27" t="s">
        <v>315</v>
      </c>
    </row>
    <row r="2" spans="1:20" x14ac:dyDescent="0.25">
      <c r="A2" s="27">
        <v>2</v>
      </c>
      <c r="B2" s="28" t="s">
        <v>141</v>
      </c>
      <c r="C2" s="28">
        <v>2010099954</v>
      </c>
      <c r="D2" s="5">
        <v>2010099954</v>
      </c>
      <c r="E2" s="83">
        <v>44296</v>
      </c>
      <c r="F2" s="13">
        <v>150</v>
      </c>
      <c r="G2" s="13">
        <v>480</v>
      </c>
      <c r="H2" s="13">
        <v>140.5</v>
      </c>
      <c r="I2" s="13">
        <v>0</v>
      </c>
      <c r="M2" s="13">
        <v>0</v>
      </c>
      <c r="N2" s="29">
        <v>770.5</v>
      </c>
      <c r="O2" s="1">
        <v>44335</v>
      </c>
      <c r="P2" s="28" t="s">
        <v>116</v>
      </c>
      <c r="Q2" s="28" t="s">
        <v>99</v>
      </c>
      <c r="R2" s="28"/>
      <c r="S2" s="28" t="s">
        <v>274</v>
      </c>
      <c r="T2" s="28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2">
    <pageSetUpPr fitToPage="1"/>
  </sheetPr>
  <dimension ref="A2:R6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90" t="s">
        <v>128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46"/>
      <c r="P2" s="11"/>
      <c r="Q2" s="11"/>
      <c r="R2" s="11"/>
    </row>
    <row r="4" spans="1:18" ht="21" x14ac:dyDescent="0.35">
      <c r="A4" s="91" t="s">
        <v>109</v>
      </c>
      <c r="B4" s="91"/>
      <c r="C4" s="91"/>
      <c r="D4" s="91"/>
      <c r="E4" s="91"/>
      <c r="F4" s="91"/>
      <c r="G4" s="11"/>
      <c r="I4" s="91" t="s">
        <v>129</v>
      </c>
      <c r="J4" s="91"/>
      <c r="K4" s="91"/>
      <c r="L4" s="91"/>
      <c r="M4" s="91"/>
      <c r="N4" s="91"/>
      <c r="O4" s="91"/>
    </row>
    <row r="6" spans="1:18" x14ac:dyDescent="0.25">
      <c r="A6" s="18" t="s">
        <v>51</v>
      </c>
      <c r="B6" s="18" t="s">
        <v>46</v>
      </c>
      <c r="C6" s="18" t="s">
        <v>47</v>
      </c>
      <c r="D6" s="18" t="s">
        <v>48</v>
      </c>
      <c r="E6" s="18" t="s">
        <v>44</v>
      </c>
      <c r="F6" s="18" t="s">
        <v>130</v>
      </c>
      <c r="I6" s="18" t="s">
        <v>84</v>
      </c>
      <c r="J6" s="18" t="s">
        <v>51</v>
      </c>
      <c r="K6" s="18" t="s">
        <v>46</v>
      </c>
      <c r="L6" s="18" t="s">
        <v>47</v>
      </c>
      <c r="M6" s="18" t="s">
        <v>48</v>
      </c>
      <c r="N6" s="18" t="s">
        <v>86</v>
      </c>
      <c r="O6" s="18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A1:T7"/>
  <sheetViews>
    <sheetView showGridLines="0" workbookViewId="0">
      <selection activeCell="C6" sqref="C6"/>
    </sheetView>
  </sheetViews>
  <sheetFormatPr defaultColWidth="0" defaultRowHeight="15" x14ac:dyDescent="0.25"/>
  <cols>
    <col min="1" max="1" width="9.140625" style="28" customWidth="1"/>
    <col min="2" max="2" width="12.85546875" style="28" customWidth="1"/>
    <col min="3" max="3" width="14.5703125" style="28" customWidth="1"/>
    <col min="4" max="4" width="6.7109375" style="28" customWidth="1"/>
    <col min="5" max="20" width="9.140625" style="28" customWidth="1"/>
    <col min="21" max="16384" width="9.140625" style="28" hidden="1"/>
  </cols>
  <sheetData>
    <row r="1" spans="1:9" ht="39.75" customHeight="1" x14ac:dyDescent="0.25"/>
    <row r="2" spans="1:9" ht="15.75" x14ac:dyDescent="0.25">
      <c r="G2" s="50"/>
      <c r="H2" s="50"/>
      <c r="I2" s="50"/>
    </row>
    <row r="3" spans="1:9" ht="15.75" x14ac:dyDescent="0.25">
      <c r="A3" s="92" t="s">
        <v>309</v>
      </c>
      <c r="B3" s="92"/>
      <c r="C3" s="80">
        <f>TbDinamicaReceber!X18</f>
        <v>476.5</v>
      </c>
    </row>
    <row r="4" spans="1:9" ht="15.75" x14ac:dyDescent="0.25">
      <c r="A4" s="92" t="s">
        <v>327</v>
      </c>
      <c r="B4" s="92"/>
      <c r="C4" s="80">
        <f>TbDinamicaReceber!AH27</f>
        <v>0</v>
      </c>
      <c r="D4" s="53">
        <f>(C5+C6)/(C3+C4)</f>
        <v>1.6169989506820566</v>
      </c>
      <c r="E4" s="54">
        <f>1-(D4)</f>
        <v>-0.61699895068205657</v>
      </c>
    </row>
    <row r="5" spans="1:9" ht="15.75" x14ac:dyDescent="0.25">
      <c r="A5" s="93" t="s">
        <v>307</v>
      </c>
      <c r="B5" s="93"/>
      <c r="C5" s="79">
        <f>TbDinamicaApagar!AJ27</f>
        <v>770.5</v>
      </c>
      <c r="D5" s="51"/>
      <c r="E5" s="52"/>
    </row>
    <row r="6" spans="1:9" ht="15.75" x14ac:dyDescent="0.25">
      <c r="A6" s="93" t="s">
        <v>308</v>
      </c>
      <c r="B6" s="93"/>
      <c r="C6" s="79">
        <f>TbDinamicaDespesas!I3</f>
        <v>0</v>
      </c>
      <c r="D6" s="51"/>
      <c r="E6" s="52"/>
    </row>
    <row r="7" spans="1:9" ht="15.75" x14ac:dyDescent="0.25">
      <c r="A7" s="94" t="s">
        <v>303</v>
      </c>
      <c r="B7" s="94"/>
      <c r="C7" s="55">
        <f>C3-(C5+C6+C4)</f>
        <v>-294</v>
      </c>
    </row>
  </sheetData>
  <mergeCells count="5">
    <mergeCell ref="A3:B3"/>
    <mergeCell ref="A5:B5"/>
    <mergeCell ref="A7:B7"/>
    <mergeCell ref="A6:B6"/>
    <mergeCell ref="A4:B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/>
  <dimension ref="A1:T4"/>
  <sheetViews>
    <sheetView showGridLines="0" workbookViewId="0">
      <selection activeCell="H5" sqref="H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0"/>
      <c r="H2" s="50"/>
      <c r="I2" s="50"/>
    </row>
    <row r="3" spans="7:9" x14ac:dyDescent="0.25">
      <c r="H3" t="str">
        <f>CONCATENATE(" Valor Receber  R$",TbDinamicaReceber!X18)</f>
        <v xml:space="preserve"> Valor Receber  R$476,5</v>
      </c>
    </row>
    <row r="4" spans="7:9" x14ac:dyDescent="0.25">
      <c r="H4" t="str">
        <f>CONCATENATE(" Adiantamentos R$",TbDinamicaReceber!AH27)</f>
        <v xml:space="preserve"> Adiantamentos R$0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1"/>
  <dimension ref="A1:AL120"/>
  <sheetViews>
    <sheetView workbookViewId="0">
      <selection activeCell="AJ3" sqref="AJ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28" bestFit="1" customWidth="1"/>
    <col min="19" max="19" width="18.7109375" style="28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10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85546875" style="28" bestFit="1" customWidth="1"/>
    <col min="35" max="35" width="18.5703125" style="28" bestFit="1" customWidth="1"/>
    <col min="36" max="36" width="16.42578125" style="28" bestFit="1" customWidth="1"/>
    <col min="37" max="37" width="15.28515625" bestFit="1" customWidth="1"/>
    <col min="38" max="38" width="11.7109375" bestFit="1" customWidth="1"/>
  </cols>
  <sheetData>
    <row r="1" spans="1:38" ht="38.25" customHeight="1" x14ac:dyDescent="0.25">
      <c r="V1" s="95" t="s">
        <v>294</v>
      </c>
      <c r="W1" s="95"/>
      <c r="X1" s="95"/>
      <c r="Z1" s="95" t="s">
        <v>297</v>
      </c>
      <c r="AA1" s="95"/>
      <c r="AB1" s="95"/>
      <c r="AC1" s="95"/>
      <c r="AD1" s="95"/>
      <c r="AE1" s="95"/>
      <c r="AF1" s="95"/>
      <c r="AG1" s="95"/>
      <c r="AH1" s="73"/>
      <c r="AI1" s="73"/>
      <c r="AJ1" s="73"/>
    </row>
    <row r="2" spans="1:38" x14ac:dyDescent="0.25">
      <c r="V2" s="40" t="s">
        <v>293</v>
      </c>
      <c r="W2" s="40" t="s">
        <v>291</v>
      </c>
      <c r="X2" s="40" t="s">
        <v>292</v>
      </c>
      <c r="Z2" s="40" t="s">
        <v>296</v>
      </c>
      <c r="AA2" s="40" t="s">
        <v>80</v>
      </c>
      <c r="AB2" s="40" t="s">
        <v>64</v>
      </c>
      <c r="AC2" s="40" t="s">
        <v>65</v>
      </c>
      <c r="AD2" s="40" t="s">
        <v>115</v>
      </c>
      <c r="AE2" s="40" t="s">
        <v>97</v>
      </c>
      <c r="AF2" s="40" t="s">
        <v>118</v>
      </c>
      <c r="AG2" s="40" t="s">
        <v>66</v>
      </c>
      <c r="AH2" s="73" t="s">
        <v>321</v>
      </c>
      <c r="AI2" s="73" t="s">
        <v>322</v>
      </c>
      <c r="AJ2" s="73" t="s">
        <v>323</v>
      </c>
      <c r="AK2" s="76" t="s">
        <v>325</v>
      </c>
      <c r="AL2" s="76" t="s">
        <v>326</v>
      </c>
    </row>
    <row r="3" spans="1:38" x14ac:dyDescent="0.25">
      <c r="A3" s="18" t="s">
        <v>105</v>
      </c>
      <c r="B3" s="18" t="s">
        <v>43</v>
      </c>
      <c r="C3" s="18" t="s">
        <v>86</v>
      </c>
      <c r="D3" s="18" t="s">
        <v>51</v>
      </c>
      <c r="E3" s="18" t="s">
        <v>108</v>
      </c>
      <c r="F3" s="18" t="s">
        <v>114</v>
      </c>
      <c r="G3" s="18" t="s">
        <v>61</v>
      </c>
      <c r="H3" s="18" t="s">
        <v>64</v>
      </c>
      <c r="I3" s="18" t="s">
        <v>65</v>
      </c>
      <c r="J3" s="18" t="s">
        <v>115</v>
      </c>
      <c r="K3" s="18" t="s">
        <v>97</v>
      </c>
      <c r="L3" s="18" t="s">
        <v>118</v>
      </c>
      <c r="M3" s="18" t="s">
        <v>66</v>
      </c>
      <c r="N3" s="18" t="s">
        <v>126</v>
      </c>
      <c r="O3" s="18" t="s">
        <v>289</v>
      </c>
      <c r="P3" s="18" t="s">
        <v>106</v>
      </c>
      <c r="Q3" s="18" t="s">
        <v>107</v>
      </c>
      <c r="R3" s="18" t="s">
        <v>98</v>
      </c>
      <c r="S3" s="18" t="s">
        <v>84</v>
      </c>
      <c r="T3" s="18" t="s">
        <v>85</v>
      </c>
      <c r="V3" s="32" t="s">
        <v>273</v>
      </c>
      <c r="W3" s="7">
        <f>SUMIF($T:$T,$V3,N:N)</f>
        <v>0</v>
      </c>
      <c r="X3" s="7">
        <f>SUMIF($T:$T,$V3,O:O)</f>
        <v>0</v>
      </c>
      <c r="Z3" s="34" t="s">
        <v>131</v>
      </c>
      <c r="AA3" s="7">
        <f t="shared" ref="AA3:AG18" si="0">SUMIF($A:$A,$Z3,G:G)</f>
        <v>0</v>
      </c>
      <c r="AB3" s="7">
        <f t="shared" si="0"/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 t="shared" si="0"/>
        <v>0</v>
      </c>
      <c r="AG3" s="7">
        <f t="shared" si="0"/>
        <v>0</v>
      </c>
      <c r="AH3" s="7">
        <f>SUMIFS($N:$N,$A:$A,$Z3,$Q:$Q,AH$2)</f>
        <v>0</v>
      </c>
      <c r="AI3" s="7">
        <f>SUMIFS($N:$N,$A:$A,$Z3,$Q:$Q,AI$2)</f>
        <v>0</v>
      </c>
      <c r="AJ3" s="7">
        <f>SUMIFS($N:$N,$A:$A,$Z3,$Q:$Q,AJ$2)</f>
        <v>0</v>
      </c>
      <c r="AK3" s="7">
        <f>SUM(AA3:AG3)</f>
        <v>0</v>
      </c>
      <c r="AL3" s="56">
        <f>SUM(AH3:AJ3)</f>
        <v>0</v>
      </c>
    </row>
    <row r="4" spans="1:38" x14ac:dyDescent="0.25">
      <c r="A4" s="28" t="s">
        <v>141</v>
      </c>
      <c r="B4" s="28">
        <v>2519</v>
      </c>
      <c r="C4" s="1">
        <v>44296</v>
      </c>
      <c r="D4" s="28">
        <v>2010099954</v>
      </c>
      <c r="E4" s="28">
        <v>2010099954</v>
      </c>
      <c r="F4" s="29">
        <v>0</v>
      </c>
      <c r="G4" s="29">
        <v>480</v>
      </c>
      <c r="H4" s="29">
        <v>140.5</v>
      </c>
      <c r="I4" s="29">
        <v>0</v>
      </c>
      <c r="J4" s="28" t="s">
        <v>112</v>
      </c>
      <c r="K4" s="28" t="s">
        <v>112</v>
      </c>
      <c r="L4" s="28" t="s">
        <v>112</v>
      </c>
      <c r="M4" s="29">
        <v>0</v>
      </c>
      <c r="N4" s="29">
        <v>976.5</v>
      </c>
      <c r="O4" s="28">
        <v>476.5</v>
      </c>
      <c r="P4" s="1">
        <v>44335</v>
      </c>
      <c r="Q4" s="28" t="s">
        <v>116</v>
      </c>
      <c r="R4" s="28" t="s">
        <v>295</v>
      </c>
      <c r="S4" s="1">
        <v>44337</v>
      </c>
      <c r="T4" s="28" t="s">
        <v>274</v>
      </c>
      <c r="V4" s="33" t="s">
        <v>274</v>
      </c>
      <c r="W4" s="7">
        <f t="shared" ref="W4:W17" si="1">SUMIF($T:$T,$V4,N:N)</f>
        <v>976.5</v>
      </c>
      <c r="X4" s="7">
        <f t="shared" ref="X4:X17" si="2">SUMIF($T:$T,$V4,O:O)</f>
        <v>476.5</v>
      </c>
      <c r="Z4" s="35" t="s">
        <v>132</v>
      </c>
      <c r="AA4" s="7">
        <f t="shared" si="0"/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si="0"/>
        <v>0</v>
      </c>
      <c r="AG4" s="7">
        <f t="shared" si="0"/>
        <v>0</v>
      </c>
      <c r="AH4" s="7">
        <f t="shared" ref="AH4:AJ26" si="3">SUMIFS($N:$N,$A:$A,$Z4,$Q:$Q,AH$2)</f>
        <v>0</v>
      </c>
      <c r="AI4" s="7">
        <f t="shared" si="3"/>
        <v>0</v>
      </c>
      <c r="AJ4" s="7">
        <f t="shared" si="3"/>
        <v>0</v>
      </c>
      <c r="AK4" s="7">
        <f t="shared" ref="AK4:AK26" si="4">SUM(AA4:AG4)</f>
        <v>0</v>
      </c>
      <c r="AL4" s="56">
        <f t="shared" ref="AL4:AL26" si="5">SUM(AH4:AJ4)</f>
        <v>0</v>
      </c>
    </row>
    <row r="5" spans="1:38" x14ac:dyDescent="0.25">
      <c r="R5"/>
      <c r="S5"/>
      <c r="V5" s="32" t="s">
        <v>275</v>
      </c>
      <c r="W5" s="7">
        <f t="shared" si="1"/>
        <v>0</v>
      </c>
      <c r="X5" s="7">
        <f t="shared" si="2"/>
        <v>0</v>
      </c>
      <c r="Z5" s="34" t="s">
        <v>133</v>
      </c>
      <c r="AA5" s="7">
        <f t="shared" si="0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0"/>
        <v>0</v>
      </c>
      <c r="AG5" s="7">
        <f t="shared" si="0"/>
        <v>0</v>
      </c>
      <c r="AH5" s="7">
        <f t="shared" si="3"/>
        <v>0</v>
      </c>
      <c r="AI5" s="7">
        <f t="shared" si="3"/>
        <v>0</v>
      </c>
      <c r="AJ5" s="7">
        <f t="shared" si="3"/>
        <v>0</v>
      </c>
      <c r="AK5" s="7">
        <f t="shared" si="4"/>
        <v>0</v>
      </c>
      <c r="AL5" s="56">
        <f t="shared" si="5"/>
        <v>0</v>
      </c>
    </row>
    <row r="6" spans="1:38" x14ac:dyDescent="0.25">
      <c r="R6"/>
      <c r="S6"/>
      <c r="V6" s="33" t="s">
        <v>276</v>
      </c>
      <c r="W6" s="7">
        <f t="shared" si="1"/>
        <v>0</v>
      </c>
      <c r="X6" s="7">
        <f t="shared" si="2"/>
        <v>0</v>
      </c>
      <c r="Z6" s="35" t="s">
        <v>134</v>
      </c>
      <c r="AA6" s="7">
        <f t="shared" si="0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0"/>
        <v>0</v>
      </c>
      <c r="AG6" s="7">
        <f t="shared" si="0"/>
        <v>0</v>
      </c>
      <c r="AH6" s="7">
        <f t="shared" si="3"/>
        <v>0</v>
      </c>
      <c r="AI6" s="7">
        <f t="shared" si="3"/>
        <v>0</v>
      </c>
      <c r="AJ6" s="7">
        <f t="shared" si="3"/>
        <v>0</v>
      </c>
      <c r="AK6" s="7">
        <f t="shared" si="4"/>
        <v>0</v>
      </c>
      <c r="AL6" s="56">
        <f t="shared" si="5"/>
        <v>0</v>
      </c>
    </row>
    <row r="7" spans="1:38" x14ac:dyDescent="0.25">
      <c r="R7"/>
      <c r="S7"/>
      <c r="V7" s="32" t="s">
        <v>277</v>
      </c>
      <c r="W7" s="7">
        <f t="shared" si="1"/>
        <v>0</v>
      </c>
      <c r="X7" s="7">
        <f t="shared" si="2"/>
        <v>0</v>
      </c>
      <c r="Z7" s="34" t="s">
        <v>135</v>
      </c>
      <c r="AA7" s="7">
        <f t="shared" si="0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0"/>
        <v>0</v>
      </c>
      <c r="AG7" s="7">
        <f t="shared" si="0"/>
        <v>0</v>
      </c>
      <c r="AH7" s="7">
        <f t="shared" si="3"/>
        <v>0</v>
      </c>
      <c r="AI7" s="7">
        <f t="shared" si="3"/>
        <v>0</v>
      </c>
      <c r="AJ7" s="7">
        <f t="shared" si="3"/>
        <v>0</v>
      </c>
      <c r="AK7" s="7">
        <f t="shared" si="4"/>
        <v>0</v>
      </c>
      <c r="AL7" s="56">
        <f t="shared" si="5"/>
        <v>0</v>
      </c>
    </row>
    <row r="8" spans="1:38" x14ac:dyDescent="0.25">
      <c r="R8"/>
      <c r="S8"/>
      <c r="V8" s="33" t="s">
        <v>278</v>
      </c>
      <c r="W8" s="7">
        <f t="shared" si="1"/>
        <v>0</v>
      </c>
      <c r="X8" s="7">
        <f t="shared" si="2"/>
        <v>0</v>
      </c>
      <c r="Z8" s="35" t="s">
        <v>136</v>
      </c>
      <c r="AA8" s="7">
        <f t="shared" si="0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0"/>
        <v>0</v>
      </c>
      <c r="AG8" s="7">
        <f t="shared" si="0"/>
        <v>0</v>
      </c>
      <c r="AH8" s="7">
        <f t="shared" si="3"/>
        <v>0</v>
      </c>
      <c r="AI8" s="7">
        <f t="shared" si="3"/>
        <v>0</v>
      </c>
      <c r="AJ8" s="7">
        <f t="shared" si="3"/>
        <v>0</v>
      </c>
      <c r="AK8" s="7">
        <f t="shared" si="4"/>
        <v>0</v>
      </c>
      <c r="AL8" s="56">
        <f t="shared" si="5"/>
        <v>0</v>
      </c>
    </row>
    <row r="9" spans="1:38" x14ac:dyDescent="0.25">
      <c r="R9"/>
      <c r="S9"/>
      <c r="V9" s="32" t="s">
        <v>279</v>
      </c>
      <c r="W9" s="7">
        <f t="shared" si="1"/>
        <v>0</v>
      </c>
      <c r="X9" s="7">
        <f t="shared" si="2"/>
        <v>0</v>
      </c>
      <c r="Z9" s="34" t="s">
        <v>137</v>
      </c>
      <c r="AA9" s="7">
        <f t="shared" si="0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0"/>
        <v>0</v>
      </c>
      <c r="AG9" s="7">
        <f t="shared" si="0"/>
        <v>0</v>
      </c>
      <c r="AH9" s="7">
        <f t="shared" si="3"/>
        <v>0</v>
      </c>
      <c r="AI9" s="7">
        <f t="shared" si="3"/>
        <v>0</v>
      </c>
      <c r="AJ9" s="7">
        <f t="shared" si="3"/>
        <v>0</v>
      </c>
      <c r="AK9" s="7">
        <f t="shared" si="4"/>
        <v>0</v>
      </c>
      <c r="AL9" s="56">
        <f t="shared" si="5"/>
        <v>0</v>
      </c>
    </row>
    <row r="10" spans="1:38" x14ac:dyDescent="0.25">
      <c r="R10"/>
      <c r="S10"/>
      <c r="V10" s="33" t="s">
        <v>287</v>
      </c>
      <c r="W10" s="7">
        <f t="shared" si="1"/>
        <v>0</v>
      </c>
      <c r="X10" s="7">
        <f t="shared" si="2"/>
        <v>0</v>
      </c>
      <c r="Z10" s="35" t="s">
        <v>138</v>
      </c>
      <c r="AA10" s="7">
        <f t="shared" si="0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0"/>
        <v>0</v>
      </c>
      <c r="AG10" s="7">
        <f t="shared" si="0"/>
        <v>0</v>
      </c>
      <c r="AH10" s="7">
        <f t="shared" si="3"/>
        <v>0</v>
      </c>
      <c r="AI10" s="7">
        <f t="shared" si="3"/>
        <v>0</v>
      </c>
      <c r="AJ10" s="7">
        <f t="shared" si="3"/>
        <v>0</v>
      </c>
      <c r="AK10" s="7">
        <f t="shared" si="4"/>
        <v>0</v>
      </c>
      <c r="AL10" s="56">
        <f t="shared" si="5"/>
        <v>0</v>
      </c>
    </row>
    <row r="11" spans="1:38" x14ac:dyDescent="0.25">
      <c r="R11"/>
      <c r="S11"/>
      <c r="V11" s="32" t="s">
        <v>280</v>
      </c>
      <c r="W11" s="7">
        <f t="shared" si="1"/>
        <v>0</v>
      </c>
      <c r="X11" s="7">
        <f t="shared" si="2"/>
        <v>0</v>
      </c>
      <c r="Z11" s="34" t="s">
        <v>139</v>
      </c>
      <c r="AA11" s="7">
        <f t="shared" si="0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0"/>
        <v>0</v>
      </c>
      <c r="AG11" s="7">
        <f t="shared" si="0"/>
        <v>0</v>
      </c>
      <c r="AH11" s="7">
        <f t="shared" si="3"/>
        <v>0</v>
      </c>
      <c r="AI11" s="7">
        <f t="shared" si="3"/>
        <v>0</v>
      </c>
      <c r="AJ11" s="7">
        <f t="shared" si="3"/>
        <v>0</v>
      </c>
      <c r="AK11" s="7">
        <f t="shared" si="4"/>
        <v>0</v>
      </c>
      <c r="AL11" s="56">
        <f t="shared" si="5"/>
        <v>0</v>
      </c>
    </row>
    <row r="12" spans="1:38" x14ac:dyDescent="0.25">
      <c r="R12"/>
      <c r="S12"/>
      <c r="V12" s="33" t="s">
        <v>281</v>
      </c>
      <c r="W12" s="7">
        <f t="shared" si="1"/>
        <v>0</v>
      </c>
      <c r="X12" s="7">
        <f t="shared" si="2"/>
        <v>0</v>
      </c>
      <c r="Z12" s="35" t="s">
        <v>140</v>
      </c>
      <c r="AA12" s="7">
        <f t="shared" si="0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0"/>
        <v>0</v>
      </c>
      <c r="AG12" s="7">
        <f t="shared" si="0"/>
        <v>0</v>
      </c>
      <c r="AH12" s="7">
        <f t="shared" si="3"/>
        <v>0</v>
      </c>
      <c r="AI12" s="7">
        <f t="shared" si="3"/>
        <v>0</v>
      </c>
      <c r="AJ12" s="7">
        <f t="shared" si="3"/>
        <v>0</v>
      </c>
      <c r="AK12" s="7">
        <f t="shared" si="4"/>
        <v>0</v>
      </c>
      <c r="AL12" s="56">
        <f t="shared" si="5"/>
        <v>0</v>
      </c>
    </row>
    <row r="13" spans="1:38" x14ac:dyDescent="0.25">
      <c r="R13"/>
      <c r="S13"/>
      <c r="V13" s="32" t="s">
        <v>282</v>
      </c>
      <c r="W13" s="7">
        <f t="shared" si="1"/>
        <v>0</v>
      </c>
      <c r="X13" s="7">
        <f t="shared" si="2"/>
        <v>0</v>
      </c>
      <c r="Z13" s="34" t="s">
        <v>141</v>
      </c>
      <c r="AA13" s="7">
        <f t="shared" si="0"/>
        <v>480</v>
      </c>
      <c r="AB13" s="7">
        <f t="shared" si="0"/>
        <v>140.5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0"/>
        <v>0</v>
      </c>
      <c r="AG13" s="7">
        <f t="shared" si="0"/>
        <v>0</v>
      </c>
      <c r="AH13" s="7">
        <f t="shared" si="3"/>
        <v>0</v>
      </c>
      <c r="AI13" s="7">
        <f t="shared" si="3"/>
        <v>0</v>
      </c>
      <c r="AJ13" s="7">
        <f t="shared" si="3"/>
        <v>0</v>
      </c>
      <c r="AK13" s="7">
        <f t="shared" si="4"/>
        <v>620.5</v>
      </c>
      <c r="AL13" s="56">
        <f t="shared" si="5"/>
        <v>0</v>
      </c>
    </row>
    <row r="14" spans="1:38" x14ac:dyDescent="0.25">
      <c r="R14"/>
      <c r="S14"/>
      <c r="V14" s="33" t="s">
        <v>283</v>
      </c>
      <c r="W14" s="7">
        <f t="shared" si="1"/>
        <v>0</v>
      </c>
      <c r="X14" s="7">
        <f t="shared" si="2"/>
        <v>0</v>
      </c>
      <c r="Z14" s="35" t="s">
        <v>142</v>
      </c>
      <c r="AA14" s="7">
        <f t="shared" si="0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0"/>
        <v>0</v>
      </c>
      <c r="AG14" s="7">
        <f t="shared" si="0"/>
        <v>0</v>
      </c>
      <c r="AH14" s="7">
        <f t="shared" si="3"/>
        <v>0</v>
      </c>
      <c r="AI14" s="7">
        <f t="shared" si="3"/>
        <v>0</v>
      </c>
      <c r="AJ14" s="7">
        <f t="shared" si="3"/>
        <v>0</v>
      </c>
      <c r="AK14" s="7">
        <f t="shared" si="4"/>
        <v>0</v>
      </c>
      <c r="AL14" s="56">
        <f t="shared" si="5"/>
        <v>0</v>
      </c>
    </row>
    <row r="15" spans="1:38" x14ac:dyDescent="0.25">
      <c r="R15"/>
      <c r="S15"/>
      <c r="V15" s="32" t="s">
        <v>284</v>
      </c>
      <c r="W15" s="7">
        <f t="shared" si="1"/>
        <v>0</v>
      </c>
      <c r="X15" s="7">
        <f t="shared" si="2"/>
        <v>0</v>
      </c>
      <c r="Z15" s="34" t="s">
        <v>143</v>
      </c>
      <c r="AA15" s="7">
        <f t="shared" si="0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0"/>
        <v>0</v>
      </c>
      <c r="AG15" s="7">
        <f t="shared" si="0"/>
        <v>0</v>
      </c>
      <c r="AH15" s="7">
        <f t="shared" si="3"/>
        <v>0</v>
      </c>
      <c r="AI15" s="7">
        <f t="shared" si="3"/>
        <v>0</v>
      </c>
      <c r="AJ15" s="7">
        <f t="shared" si="3"/>
        <v>0</v>
      </c>
      <c r="AK15" s="7">
        <f t="shared" si="4"/>
        <v>0</v>
      </c>
      <c r="AL15" s="56">
        <f t="shared" si="5"/>
        <v>0</v>
      </c>
    </row>
    <row r="16" spans="1:38" x14ac:dyDescent="0.25">
      <c r="R16"/>
      <c r="S16"/>
      <c r="V16" s="33" t="s">
        <v>285</v>
      </c>
      <c r="W16" s="7">
        <f t="shared" si="1"/>
        <v>0</v>
      </c>
      <c r="X16" s="7">
        <f t="shared" si="2"/>
        <v>0</v>
      </c>
      <c r="Z16" s="35" t="s">
        <v>144</v>
      </c>
      <c r="AA16" s="7">
        <f t="shared" si="0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0"/>
        <v>0</v>
      </c>
      <c r="AG16" s="7">
        <f t="shared" si="0"/>
        <v>0</v>
      </c>
      <c r="AH16" s="7">
        <f t="shared" si="3"/>
        <v>0</v>
      </c>
      <c r="AI16" s="7">
        <f t="shared" si="3"/>
        <v>0</v>
      </c>
      <c r="AJ16" s="7">
        <f t="shared" si="3"/>
        <v>0</v>
      </c>
      <c r="AK16" s="7">
        <f t="shared" si="4"/>
        <v>0</v>
      </c>
      <c r="AL16" s="56">
        <f t="shared" si="5"/>
        <v>0</v>
      </c>
    </row>
    <row r="17" spans="18:38" x14ac:dyDescent="0.25">
      <c r="R17"/>
      <c r="S17"/>
      <c r="V17" s="32" t="s">
        <v>286</v>
      </c>
      <c r="W17" s="7">
        <f t="shared" si="1"/>
        <v>0</v>
      </c>
      <c r="X17" s="7">
        <f t="shared" si="2"/>
        <v>0</v>
      </c>
      <c r="Z17" s="34" t="s">
        <v>145</v>
      </c>
      <c r="AA17" s="7">
        <f t="shared" si="0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0"/>
        <v>0</v>
      </c>
      <c r="AG17" s="7">
        <f t="shared" si="0"/>
        <v>0</v>
      </c>
      <c r="AH17" s="7">
        <f t="shared" si="3"/>
        <v>0</v>
      </c>
      <c r="AI17" s="7">
        <f t="shared" si="3"/>
        <v>0</v>
      </c>
      <c r="AJ17" s="7">
        <f t="shared" si="3"/>
        <v>0</v>
      </c>
      <c r="AK17" s="7">
        <f t="shared" si="4"/>
        <v>0</v>
      </c>
      <c r="AL17" s="56">
        <f t="shared" si="5"/>
        <v>0</v>
      </c>
    </row>
    <row r="18" spans="18:38" x14ac:dyDescent="0.25">
      <c r="R18"/>
      <c r="S18"/>
      <c r="V18" s="41" t="s">
        <v>291</v>
      </c>
      <c r="W18" s="7">
        <f>SUM(W3:W17)</f>
        <v>976.5</v>
      </c>
      <c r="X18" s="7">
        <f>SUM(X2:X17)</f>
        <v>476.5</v>
      </c>
      <c r="Z18" s="35" t="s">
        <v>146</v>
      </c>
      <c r="AA18" s="7">
        <f t="shared" si="0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0"/>
        <v>0</v>
      </c>
      <c r="AG18" s="7">
        <f t="shared" si="0"/>
        <v>0</v>
      </c>
      <c r="AH18" s="7">
        <f t="shared" si="3"/>
        <v>0</v>
      </c>
      <c r="AI18" s="7">
        <f t="shared" si="3"/>
        <v>0</v>
      </c>
      <c r="AJ18" s="7">
        <f t="shared" si="3"/>
        <v>0</v>
      </c>
      <c r="AK18" s="7">
        <f t="shared" si="4"/>
        <v>0</v>
      </c>
      <c r="AL18" s="56">
        <f t="shared" si="5"/>
        <v>0</v>
      </c>
    </row>
    <row r="19" spans="18:38" x14ac:dyDescent="0.25">
      <c r="R19"/>
      <c r="S19"/>
      <c r="W19" s="7"/>
      <c r="X19" s="7"/>
      <c r="Z19" s="34" t="s">
        <v>147</v>
      </c>
      <c r="AA19" s="7">
        <f t="shared" ref="AA19:AG26" si="6">SUMIF($A:$A,$Z19,G:G)</f>
        <v>0</v>
      </c>
      <c r="AB19" s="7">
        <f t="shared" si="6"/>
        <v>0</v>
      </c>
      <c r="AC19" s="7">
        <f t="shared" si="6"/>
        <v>0</v>
      </c>
      <c r="AD19" s="7">
        <f t="shared" si="6"/>
        <v>0</v>
      </c>
      <c r="AE19" s="7">
        <f t="shared" si="6"/>
        <v>0</v>
      </c>
      <c r="AF19" s="7">
        <f t="shared" si="6"/>
        <v>0</v>
      </c>
      <c r="AG19" s="7">
        <f t="shared" si="6"/>
        <v>0</v>
      </c>
      <c r="AH19" s="7">
        <f t="shared" si="3"/>
        <v>0</v>
      </c>
      <c r="AI19" s="7">
        <f t="shared" si="3"/>
        <v>0</v>
      </c>
      <c r="AJ19" s="7">
        <f t="shared" si="3"/>
        <v>0</v>
      </c>
      <c r="AK19" s="7">
        <f t="shared" si="4"/>
        <v>0</v>
      </c>
      <c r="AL19" s="56">
        <f t="shared" si="5"/>
        <v>0</v>
      </c>
    </row>
    <row r="20" spans="18:38" x14ac:dyDescent="0.25">
      <c r="R20"/>
      <c r="S20"/>
      <c r="W20" s="7"/>
      <c r="X20" s="7"/>
      <c r="Z20" s="35" t="s">
        <v>148</v>
      </c>
      <c r="AA20" s="7">
        <f t="shared" si="6"/>
        <v>0</v>
      </c>
      <c r="AB20" s="7">
        <f t="shared" si="6"/>
        <v>0</v>
      </c>
      <c r="AC20" s="7">
        <f t="shared" si="6"/>
        <v>0</v>
      </c>
      <c r="AD20" s="7">
        <f t="shared" si="6"/>
        <v>0</v>
      </c>
      <c r="AE20" s="7">
        <f t="shared" si="6"/>
        <v>0</v>
      </c>
      <c r="AF20" s="7">
        <f t="shared" si="6"/>
        <v>0</v>
      </c>
      <c r="AG20" s="7">
        <f t="shared" si="6"/>
        <v>0</v>
      </c>
      <c r="AH20" s="7">
        <f t="shared" si="3"/>
        <v>0</v>
      </c>
      <c r="AI20" s="7">
        <f t="shared" si="3"/>
        <v>0</v>
      </c>
      <c r="AJ20" s="7">
        <f t="shared" si="3"/>
        <v>0</v>
      </c>
      <c r="AK20" s="7">
        <f t="shared" si="4"/>
        <v>0</v>
      </c>
      <c r="AL20" s="56">
        <f t="shared" si="5"/>
        <v>0</v>
      </c>
    </row>
    <row r="21" spans="18:38" x14ac:dyDescent="0.25">
      <c r="R21"/>
      <c r="S21"/>
      <c r="W21" s="7"/>
      <c r="X21" s="7"/>
      <c r="Z21" s="34" t="s">
        <v>149</v>
      </c>
      <c r="AA21" s="7">
        <f t="shared" si="6"/>
        <v>0</v>
      </c>
      <c r="AB21" s="7">
        <f t="shared" si="6"/>
        <v>0</v>
      </c>
      <c r="AC21" s="7">
        <f t="shared" si="6"/>
        <v>0</v>
      </c>
      <c r="AD21" s="7">
        <f t="shared" si="6"/>
        <v>0</v>
      </c>
      <c r="AE21" s="7">
        <f t="shared" si="6"/>
        <v>0</v>
      </c>
      <c r="AF21" s="7">
        <f t="shared" si="6"/>
        <v>0</v>
      </c>
      <c r="AG21" s="7">
        <f t="shared" si="6"/>
        <v>0</v>
      </c>
      <c r="AH21" s="7">
        <f t="shared" si="3"/>
        <v>0</v>
      </c>
      <c r="AI21" s="7">
        <f t="shared" si="3"/>
        <v>0</v>
      </c>
      <c r="AJ21" s="7">
        <f t="shared" si="3"/>
        <v>0</v>
      </c>
      <c r="AK21" s="7">
        <f t="shared" si="4"/>
        <v>0</v>
      </c>
      <c r="AL21" s="56">
        <f t="shared" si="5"/>
        <v>0</v>
      </c>
    </row>
    <row r="22" spans="18:38" x14ac:dyDescent="0.25">
      <c r="R22"/>
      <c r="S22"/>
      <c r="W22" s="7"/>
      <c r="X22" s="7"/>
      <c r="Z22" s="35" t="s">
        <v>150</v>
      </c>
      <c r="AA22" s="7">
        <f t="shared" si="6"/>
        <v>0</v>
      </c>
      <c r="AB22" s="7">
        <f t="shared" si="6"/>
        <v>0</v>
      </c>
      <c r="AC22" s="7">
        <f t="shared" si="6"/>
        <v>0</v>
      </c>
      <c r="AD22" s="7">
        <f t="shared" si="6"/>
        <v>0</v>
      </c>
      <c r="AE22" s="7">
        <f t="shared" si="6"/>
        <v>0</v>
      </c>
      <c r="AF22" s="7">
        <f t="shared" si="6"/>
        <v>0</v>
      </c>
      <c r="AG22" s="7">
        <f t="shared" si="6"/>
        <v>0</v>
      </c>
      <c r="AH22" s="7">
        <f t="shared" si="3"/>
        <v>0</v>
      </c>
      <c r="AI22" s="7">
        <f t="shared" si="3"/>
        <v>0</v>
      </c>
      <c r="AJ22" s="7">
        <f t="shared" si="3"/>
        <v>0</v>
      </c>
      <c r="AK22" s="7">
        <f t="shared" si="4"/>
        <v>0</v>
      </c>
      <c r="AL22" s="56">
        <f t="shared" si="5"/>
        <v>0</v>
      </c>
    </row>
    <row r="23" spans="18:38" x14ac:dyDescent="0.25">
      <c r="R23"/>
      <c r="S23"/>
      <c r="W23" s="7"/>
      <c r="X23" s="7"/>
      <c r="Z23" s="34" t="s">
        <v>151</v>
      </c>
      <c r="AA23" s="7">
        <f t="shared" si="6"/>
        <v>0</v>
      </c>
      <c r="AB23" s="7">
        <f t="shared" si="6"/>
        <v>0</v>
      </c>
      <c r="AC23" s="7">
        <f t="shared" si="6"/>
        <v>0</v>
      </c>
      <c r="AD23" s="7">
        <f t="shared" si="6"/>
        <v>0</v>
      </c>
      <c r="AE23" s="7">
        <f t="shared" si="6"/>
        <v>0</v>
      </c>
      <c r="AF23" s="7">
        <f t="shared" si="6"/>
        <v>0</v>
      </c>
      <c r="AG23" s="7">
        <f t="shared" si="6"/>
        <v>0</v>
      </c>
      <c r="AH23" s="7">
        <f t="shared" si="3"/>
        <v>0</v>
      </c>
      <c r="AI23" s="7">
        <f t="shared" si="3"/>
        <v>0</v>
      </c>
      <c r="AJ23" s="7">
        <f t="shared" si="3"/>
        <v>0</v>
      </c>
      <c r="AK23" s="7">
        <f t="shared" si="4"/>
        <v>0</v>
      </c>
      <c r="AL23" s="56">
        <f t="shared" si="5"/>
        <v>0</v>
      </c>
    </row>
    <row r="24" spans="18:38" x14ac:dyDescent="0.25">
      <c r="R24"/>
      <c r="S24"/>
      <c r="W24" s="7"/>
      <c r="X24" s="7"/>
      <c r="Z24" s="35" t="s">
        <v>152</v>
      </c>
      <c r="AA24" s="7">
        <f t="shared" si="6"/>
        <v>0</v>
      </c>
      <c r="AB24" s="7">
        <f t="shared" si="6"/>
        <v>0</v>
      </c>
      <c r="AC24" s="7">
        <f t="shared" si="6"/>
        <v>0</v>
      </c>
      <c r="AD24" s="7">
        <f t="shared" si="6"/>
        <v>0</v>
      </c>
      <c r="AE24" s="7">
        <f t="shared" si="6"/>
        <v>0</v>
      </c>
      <c r="AF24" s="7">
        <f t="shared" si="6"/>
        <v>0</v>
      </c>
      <c r="AG24" s="7">
        <f t="shared" si="6"/>
        <v>0</v>
      </c>
      <c r="AH24" s="7">
        <f t="shared" si="3"/>
        <v>0</v>
      </c>
      <c r="AI24" s="7">
        <f t="shared" si="3"/>
        <v>0</v>
      </c>
      <c r="AJ24" s="7">
        <f t="shared" si="3"/>
        <v>0</v>
      </c>
      <c r="AK24" s="7">
        <f t="shared" si="4"/>
        <v>0</v>
      </c>
      <c r="AL24" s="56">
        <f t="shared" si="5"/>
        <v>0</v>
      </c>
    </row>
    <row r="25" spans="18:38" x14ac:dyDescent="0.25">
      <c r="R25"/>
      <c r="S25"/>
      <c r="W25" s="7"/>
      <c r="X25" s="7"/>
      <c r="Z25" s="34" t="s">
        <v>153</v>
      </c>
      <c r="AA25" s="7">
        <f t="shared" si="6"/>
        <v>0</v>
      </c>
      <c r="AB25" s="7">
        <f t="shared" si="6"/>
        <v>0</v>
      </c>
      <c r="AC25" s="7">
        <f t="shared" si="6"/>
        <v>0</v>
      </c>
      <c r="AD25" s="7">
        <f t="shared" si="6"/>
        <v>0</v>
      </c>
      <c r="AE25" s="7">
        <f t="shared" si="6"/>
        <v>0</v>
      </c>
      <c r="AF25" s="7">
        <f t="shared" si="6"/>
        <v>0</v>
      </c>
      <c r="AG25" s="7">
        <f t="shared" si="6"/>
        <v>0</v>
      </c>
      <c r="AH25" s="7">
        <f t="shared" si="3"/>
        <v>0</v>
      </c>
      <c r="AI25" s="7">
        <f t="shared" si="3"/>
        <v>0</v>
      </c>
      <c r="AJ25" s="7">
        <f t="shared" si="3"/>
        <v>0</v>
      </c>
      <c r="AK25" s="7">
        <f t="shared" si="4"/>
        <v>0</v>
      </c>
      <c r="AL25" s="56">
        <f t="shared" si="5"/>
        <v>0</v>
      </c>
    </row>
    <row r="26" spans="18:38" x14ac:dyDescent="0.25">
      <c r="R26"/>
      <c r="S26"/>
      <c r="W26" s="7"/>
      <c r="X26" s="7"/>
      <c r="Z26" s="35" t="s">
        <v>154</v>
      </c>
      <c r="AA26" s="7">
        <f t="shared" si="6"/>
        <v>0</v>
      </c>
      <c r="AB26" s="7">
        <f t="shared" si="6"/>
        <v>0</v>
      </c>
      <c r="AC26" s="7">
        <f t="shared" si="6"/>
        <v>0</v>
      </c>
      <c r="AD26" s="7">
        <f t="shared" si="6"/>
        <v>0</v>
      </c>
      <c r="AE26" s="7">
        <f t="shared" si="6"/>
        <v>0</v>
      </c>
      <c r="AF26" s="7">
        <f t="shared" si="6"/>
        <v>0</v>
      </c>
      <c r="AG26" s="7">
        <f t="shared" si="6"/>
        <v>0</v>
      </c>
      <c r="AH26" s="7">
        <f t="shared" si="3"/>
        <v>0</v>
      </c>
      <c r="AI26" s="7">
        <f t="shared" si="3"/>
        <v>0</v>
      </c>
      <c r="AJ26" s="7">
        <f t="shared" si="3"/>
        <v>0</v>
      </c>
      <c r="AK26" s="7">
        <f t="shared" si="4"/>
        <v>0</v>
      </c>
      <c r="AL26" s="56">
        <f t="shared" si="5"/>
        <v>0</v>
      </c>
    </row>
    <row r="27" spans="18:38" x14ac:dyDescent="0.25">
      <c r="R27"/>
      <c r="S27"/>
      <c r="W27" s="7"/>
      <c r="X27" s="7"/>
      <c r="Z27" t="s">
        <v>291</v>
      </c>
      <c r="AA27" s="7">
        <v>480</v>
      </c>
      <c r="AB27" s="7">
        <v>140.5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f>SUM(AA27:AG27)</f>
        <v>620.5</v>
      </c>
      <c r="AL27" s="56">
        <f>SUM(AH27:AJ27)</f>
        <v>0</v>
      </c>
    </row>
    <row r="28" spans="18:38" x14ac:dyDescent="0.25">
      <c r="R28"/>
      <c r="S28"/>
    </row>
    <row r="29" spans="18:38" x14ac:dyDescent="0.25">
      <c r="R29"/>
      <c r="S29"/>
    </row>
    <row r="30" spans="18:38" x14ac:dyDescent="0.25">
      <c r="R30"/>
      <c r="S30"/>
    </row>
    <row r="31" spans="18:38" x14ac:dyDescent="0.25">
      <c r="R31"/>
      <c r="S31"/>
    </row>
    <row r="32" spans="18:38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T19"/>
  <sheetViews>
    <sheetView showGridLines="0" workbookViewId="0">
      <selection activeCell="I6" sqref="I6"/>
    </sheetView>
  </sheetViews>
  <sheetFormatPr defaultColWidth="0" defaultRowHeight="15" x14ac:dyDescent="0.25"/>
  <cols>
    <col min="1" max="7" width="9.140625" customWidth="1"/>
    <col min="8" max="8" width="10.5703125" customWidth="1"/>
    <col min="9" max="20" width="9.140625" customWidth="1"/>
    <col min="21" max="16384" width="9.140625" hidden="1"/>
  </cols>
  <sheetData>
    <row r="1" spans="8:8" ht="39.75" customHeight="1" x14ac:dyDescent="0.25"/>
    <row r="3" spans="8:8" x14ac:dyDescent="0.25">
      <c r="H3" s="56" t="str">
        <f>CONCATENATE("Valor a Pagar R$",TbDinamicaApagar!AJ27)</f>
        <v>Valor a Pagar R$770,5</v>
      </c>
    </row>
    <row r="19" spans="15:17" ht="15.75" x14ac:dyDescent="0.25">
      <c r="O19" s="96"/>
      <c r="P19" s="96"/>
      <c r="Q19" s="96"/>
    </row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/>
  <dimension ref="A1:AK27"/>
  <sheetViews>
    <sheetView topLeftCell="A2" workbookViewId="0">
      <selection activeCell="AI3" sqref="AI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3.140625" customWidth="1"/>
    <col min="14" max="14" width="18.7109375" bestFit="1" customWidth="1"/>
    <col min="15" max="15" width="20.28515625" bestFit="1" customWidth="1"/>
    <col min="16" max="18" width="15.5703125" bestFit="1" customWidth="1"/>
    <col min="19" max="19" width="7.42578125" bestFit="1" customWidth="1"/>
    <col min="21" max="21" width="31.140625" bestFit="1" customWidth="1"/>
    <col min="22" max="22" width="11.7109375" style="7" customWidth="1"/>
    <col min="23" max="23" width="10.85546875" customWidth="1"/>
    <col min="24" max="24" width="35" bestFit="1" customWidth="1"/>
    <col min="25" max="25" width="17.140625" style="7" customWidth="1"/>
    <col min="26" max="26" width="16.5703125" customWidth="1"/>
    <col min="27" max="28" width="10.140625" bestFit="1" customWidth="1"/>
    <col min="29" max="29" width="11.7109375" bestFit="1" customWidth="1"/>
    <col min="30" max="31" width="16" bestFit="1" customWidth="1"/>
    <col min="32" max="32" width="13.140625" bestFit="1" customWidth="1"/>
    <col min="33" max="33" width="13.140625" style="28" customWidth="1"/>
    <col min="34" max="35" width="15" style="28" customWidth="1"/>
    <col min="36" max="37" width="13.85546875" bestFit="1" customWidth="1"/>
  </cols>
  <sheetData>
    <row r="1" spans="1:37" ht="38.25" customHeight="1" x14ac:dyDescent="0.25">
      <c r="U1" s="95" t="s">
        <v>301</v>
      </c>
      <c r="V1" s="95"/>
      <c r="W1" s="95"/>
    </row>
    <row r="2" spans="1:37" x14ac:dyDescent="0.25">
      <c r="U2" s="27" t="s">
        <v>293</v>
      </c>
      <c r="V2" s="49" t="s">
        <v>291</v>
      </c>
      <c r="X2" s="27" t="s">
        <v>302</v>
      </c>
      <c r="Y2" s="27" t="s">
        <v>114</v>
      </c>
      <c r="Z2" s="27" t="s">
        <v>61</v>
      </c>
      <c r="AA2" s="27" t="s">
        <v>64</v>
      </c>
      <c r="AB2" s="27" t="s">
        <v>65</v>
      </c>
      <c r="AC2" s="27" t="s">
        <v>115</v>
      </c>
      <c r="AD2" s="27" t="s">
        <v>97</v>
      </c>
      <c r="AE2" s="27" t="s">
        <v>113</v>
      </c>
      <c r="AF2" s="27" t="s">
        <v>66</v>
      </c>
      <c r="AG2" s="27" t="s">
        <v>321</v>
      </c>
      <c r="AH2" s="77" t="s">
        <v>322</v>
      </c>
      <c r="AI2" s="28" t="s">
        <v>323</v>
      </c>
      <c r="AJ2" s="27" t="s">
        <v>67</v>
      </c>
      <c r="AK2" s="27"/>
    </row>
    <row r="3" spans="1:37" x14ac:dyDescent="0.25">
      <c r="A3" s="18" t="s">
        <v>105</v>
      </c>
      <c r="B3" s="18" t="s">
        <v>51</v>
      </c>
      <c r="C3" s="18" t="s">
        <v>108</v>
      </c>
      <c r="D3" s="18" t="s">
        <v>86</v>
      </c>
      <c r="E3" s="18" t="s">
        <v>114</v>
      </c>
      <c r="F3" s="18" t="s">
        <v>61</v>
      </c>
      <c r="G3" s="18" t="s">
        <v>64</v>
      </c>
      <c r="H3" s="18" t="s">
        <v>65</v>
      </c>
      <c r="I3" s="18" t="s">
        <v>115</v>
      </c>
      <c r="J3" s="18" t="s">
        <v>97</v>
      </c>
      <c r="K3" s="18" t="s">
        <v>113</v>
      </c>
      <c r="L3" s="18" t="s">
        <v>66</v>
      </c>
      <c r="M3" s="18" t="s">
        <v>126</v>
      </c>
      <c r="N3" s="18" t="s">
        <v>106</v>
      </c>
      <c r="O3" s="18" t="s">
        <v>107</v>
      </c>
      <c r="P3" s="18" t="s">
        <v>98</v>
      </c>
      <c r="Q3" s="18" t="s">
        <v>110</v>
      </c>
      <c r="R3" s="18" t="s">
        <v>85</v>
      </c>
      <c r="U3" s="32" t="s">
        <v>273</v>
      </c>
      <c r="V3" s="7">
        <f>SUMIF($R:$R,$U3,$M:$M)</f>
        <v>0</v>
      </c>
      <c r="X3" s="34" t="s">
        <v>131</v>
      </c>
      <c r="Y3" s="7">
        <f>SUMIF($A:$A,$X3,E:E)</f>
        <v>0</v>
      </c>
      <c r="Z3" s="7">
        <f>SUMIF($A:$A,$X3,F:F)</f>
        <v>0</v>
      </c>
      <c r="AA3" s="7">
        <f>SUMIF($A:$A,$X3,G:G)</f>
        <v>0</v>
      </c>
      <c r="AB3" s="7">
        <f t="shared" ref="AB3:AE18" si="0">SUMIF($A:$A,$X3,H:H)</f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>SUMIF($A:$A,$X3,L:L)</f>
        <v>0</v>
      </c>
      <c r="AG3" s="7">
        <f>SUMIFS($M:$M,$A:$A,$X3,$O:$O,AG$2)</f>
        <v>0</v>
      </c>
      <c r="AH3" s="7">
        <f>SUMIFS($M:$M,$A:$A,$X3,$O:$O,AH$2)</f>
        <v>0</v>
      </c>
      <c r="AI3" s="7">
        <f>SUMIFS($M:$M,$A:$A,$X3,$O:$O,AI$2)</f>
        <v>0</v>
      </c>
      <c r="AJ3" s="7">
        <f>SUMIF($A:$A,$X3,M:M)</f>
        <v>0</v>
      </c>
    </row>
    <row r="4" spans="1:37" x14ac:dyDescent="0.25">
      <c r="A4" s="28" t="s">
        <v>141</v>
      </c>
      <c r="B4" s="28">
        <v>2010099954</v>
      </c>
      <c r="C4" s="28">
        <v>2010099954</v>
      </c>
      <c r="D4" s="1">
        <v>44296</v>
      </c>
      <c r="E4" s="29">
        <v>150</v>
      </c>
      <c r="F4" s="29">
        <v>480</v>
      </c>
      <c r="G4" s="29">
        <v>140.5</v>
      </c>
      <c r="H4" s="29">
        <v>0</v>
      </c>
      <c r="I4" s="28" t="s">
        <v>112</v>
      </c>
      <c r="J4" s="28" t="s">
        <v>112</v>
      </c>
      <c r="K4" s="28" t="s">
        <v>112</v>
      </c>
      <c r="L4" s="29">
        <v>0</v>
      </c>
      <c r="M4" s="29">
        <v>770.5</v>
      </c>
      <c r="N4" s="1">
        <v>44335</v>
      </c>
      <c r="O4" s="28" t="s">
        <v>116</v>
      </c>
      <c r="P4" s="28" t="s">
        <v>99</v>
      </c>
      <c r="Q4" s="28" t="s">
        <v>112</v>
      </c>
      <c r="R4" s="28" t="s">
        <v>274</v>
      </c>
      <c r="S4" s="28"/>
      <c r="T4" s="28"/>
      <c r="U4" s="33" t="s">
        <v>274</v>
      </c>
      <c r="V4" s="7">
        <f t="shared" ref="V4:V17" si="1">SUMIF($R:$R,$U4,$M:$M)</f>
        <v>770.5</v>
      </c>
      <c r="X4" s="35" t="s">
        <v>132</v>
      </c>
      <c r="Y4" s="7">
        <f t="shared" ref="Y4:Y26" si="2">SUMIF($A:$A,$X4,E:E)</f>
        <v>0</v>
      </c>
      <c r="Z4" s="7">
        <f t="shared" ref="Z4:Z26" si="3">SUMIF($A:$A,$X4,F:F)</f>
        <v>0</v>
      </c>
      <c r="AA4" s="7">
        <f t="shared" ref="AA4:AE26" si="4">SUMIF($A:$A,$X4,G:G)</f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ref="AF4:AF26" si="5">SUMIF($A:$A,$X4,L:L)</f>
        <v>0</v>
      </c>
      <c r="AG4" s="7">
        <f t="shared" ref="AG4:AI26" si="6">SUMIFS($M:$M,$A:$A,$X4,$O:$O,AG$2)</f>
        <v>0</v>
      </c>
      <c r="AH4" s="7">
        <f t="shared" si="6"/>
        <v>0</v>
      </c>
      <c r="AI4" s="7">
        <f t="shared" si="6"/>
        <v>0</v>
      </c>
      <c r="AJ4" s="7">
        <f t="shared" ref="AJ4:AJ26" si="7">SUMIF($A:$A,$X4,M:M)</f>
        <v>0</v>
      </c>
    </row>
    <row r="5" spans="1:37" x14ac:dyDescent="0.25">
      <c r="S5" s="28"/>
      <c r="T5" s="28"/>
      <c r="U5" s="32" t="s">
        <v>275</v>
      </c>
      <c r="V5" s="7">
        <f t="shared" si="1"/>
        <v>0</v>
      </c>
      <c r="X5" s="34" t="s">
        <v>133</v>
      </c>
      <c r="Y5" s="7">
        <f t="shared" si="2"/>
        <v>0</v>
      </c>
      <c r="Z5" s="7">
        <f t="shared" si="3"/>
        <v>0</v>
      </c>
      <c r="AA5" s="7">
        <f t="shared" si="4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5"/>
        <v>0</v>
      </c>
      <c r="AG5" s="7">
        <f t="shared" si="6"/>
        <v>0</v>
      </c>
      <c r="AH5" s="7">
        <f t="shared" si="6"/>
        <v>0</v>
      </c>
      <c r="AI5" s="7">
        <f t="shared" si="6"/>
        <v>0</v>
      </c>
      <c r="AJ5" s="7">
        <f t="shared" si="7"/>
        <v>0</v>
      </c>
    </row>
    <row r="6" spans="1:37" x14ac:dyDescent="0.25">
      <c r="S6" s="28"/>
      <c r="T6" s="28"/>
      <c r="U6" s="33" t="s">
        <v>276</v>
      </c>
      <c r="V6" s="7">
        <f t="shared" si="1"/>
        <v>0</v>
      </c>
      <c r="X6" s="35" t="s">
        <v>134</v>
      </c>
      <c r="Y6" s="7">
        <f t="shared" si="2"/>
        <v>0</v>
      </c>
      <c r="Z6" s="7">
        <f t="shared" si="3"/>
        <v>0</v>
      </c>
      <c r="AA6" s="7">
        <f t="shared" si="4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5"/>
        <v>0</v>
      </c>
      <c r="AG6" s="7">
        <f t="shared" si="6"/>
        <v>0</v>
      </c>
      <c r="AH6" s="7">
        <f t="shared" si="6"/>
        <v>0</v>
      </c>
      <c r="AI6" s="7">
        <f t="shared" si="6"/>
        <v>0</v>
      </c>
      <c r="AJ6" s="7">
        <f t="shared" si="7"/>
        <v>0</v>
      </c>
    </row>
    <row r="7" spans="1:37" x14ac:dyDescent="0.25">
      <c r="S7" s="28"/>
      <c r="T7" s="28"/>
      <c r="U7" s="32" t="s">
        <v>277</v>
      </c>
      <c r="V7" s="7">
        <f t="shared" si="1"/>
        <v>0</v>
      </c>
      <c r="X7" s="34" t="s">
        <v>135</v>
      </c>
      <c r="Y7" s="7">
        <f t="shared" si="2"/>
        <v>0</v>
      </c>
      <c r="Z7" s="7">
        <f t="shared" si="3"/>
        <v>0</v>
      </c>
      <c r="AA7" s="7">
        <f t="shared" si="4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5"/>
        <v>0</v>
      </c>
      <c r="AG7" s="7">
        <f t="shared" si="6"/>
        <v>0</v>
      </c>
      <c r="AH7" s="7">
        <f t="shared" si="6"/>
        <v>0</v>
      </c>
      <c r="AI7" s="7">
        <f t="shared" si="6"/>
        <v>0</v>
      </c>
      <c r="AJ7" s="7">
        <f>SUMIF($A:$A,$X7,M:M)</f>
        <v>0</v>
      </c>
    </row>
    <row r="8" spans="1:37" x14ac:dyDescent="0.25">
      <c r="S8" s="28"/>
      <c r="T8" s="28"/>
      <c r="U8" s="33" t="s">
        <v>278</v>
      </c>
      <c r="V8" s="7">
        <f t="shared" si="1"/>
        <v>0</v>
      </c>
      <c r="X8" s="35" t="s">
        <v>136</v>
      </c>
      <c r="Y8" s="7">
        <f t="shared" si="2"/>
        <v>0</v>
      </c>
      <c r="Z8" s="7">
        <f t="shared" si="3"/>
        <v>0</v>
      </c>
      <c r="AA8" s="7">
        <f t="shared" si="4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5"/>
        <v>0</v>
      </c>
      <c r="AG8" s="7">
        <f t="shared" si="6"/>
        <v>0</v>
      </c>
      <c r="AH8" s="7">
        <f t="shared" si="6"/>
        <v>0</v>
      </c>
      <c r="AI8" s="7">
        <f t="shared" si="6"/>
        <v>0</v>
      </c>
      <c r="AJ8" s="7">
        <f t="shared" si="7"/>
        <v>0</v>
      </c>
    </row>
    <row r="9" spans="1:37" x14ac:dyDescent="0.25">
      <c r="S9" s="28"/>
      <c r="T9" s="28"/>
      <c r="U9" s="32" t="s">
        <v>279</v>
      </c>
      <c r="V9" s="7">
        <f t="shared" si="1"/>
        <v>0</v>
      </c>
      <c r="X9" s="34" t="s">
        <v>137</v>
      </c>
      <c r="Y9" s="7">
        <f t="shared" si="2"/>
        <v>0</v>
      </c>
      <c r="Z9" s="7">
        <f t="shared" si="3"/>
        <v>0</v>
      </c>
      <c r="AA9" s="7">
        <f t="shared" si="4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5"/>
        <v>0</v>
      </c>
      <c r="AG9" s="7">
        <f t="shared" si="6"/>
        <v>0</v>
      </c>
      <c r="AH9" s="7">
        <f t="shared" si="6"/>
        <v>0</v>
      </c>
      <c r="AI9" s="7">
        <f t="shared" si="6"/>
        <v>0</v>
      </c>
      <c r="AJ9" s="7">
        <f t="shared" si="7"/>
        <v>0</v>
      </c>
    </row>
    <row r="10" spans="1:37" x14ac:dyDescent="0.25">
      <c r="S10" s="28"/>
      <c r="T10" s="28"/>
      <c r="U10" s="33" t="s">
        <v>287</v>
      </c>
      <c r="V10" s="7">
        <f t="shared" si="1"/>
        <v>0</v>
      </c>
      <c r="X10" s="35" t="s">
        <v>138</v>
      </c>
      <c r="Y10" s="7">
        <f t="shared" si="2"/>
        <v>0</v>
      </c>
      <c r="Z10" s="7">
        <f t="shared" si="3"/>
        <v>0</v>
      </c>
      <c r="AA10" s="7">
        <f t="shared" si="4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5"/>
        <v>0</v>
      </c>
      <c r="AG10" s="7">
        <f t="shared" si="6"/>
        <v>0</v>
      </c>
      <c r="AH10" s="7">
        <f t="shared" si="6"/>
        <v>0</v>
      </c>
      <c r="AI10" s="7">
        <f t="shared" si="6"/>
        <v>0</v>
      </c>
      <c r="AJ10" s="7">
        <f t="shared" si="7"/>
        <v>0</v>
      </c>
    </row>
    <row r="11" spans="1:37" x14ac:dyDescent="0.25">
      <c r="S11" s="28"/>
      <c r="T11" s="28"/>
      <c r="U11" s="32" t="s">
        <v>280</v>
      </c>
      <c r="V11" s="7">
        <f t="shared" si="1"/>
        <v>0</v>
      </c>
      <c r="X11" s="34" t="s">
        <v>139</v>
      </c>
      <c r="Y11" s="7">
        <f t="shared" si="2"/>
        <v>0</v>
      </c>
      <c r="Z11" s="7">
        <f t="shared" si="3"/>
        <v>0</v>
      </c>
      <c r="AA11" s="7">
        <f t="shared" si="4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5"/>
        <v>0</v>
      </c>
      <c r="AG11" s="7">
        <f t="shared" si="6"/>
        <v>0</v>
      </c>
      <c r="AH11" s="7">
        <f t="shared" si="6"/>
        <v>0</v>
      </c>
      <c r="AI11" s="7">
        <f t="shared" si="6"/>
        <v>0</v>
      </c>
      <c r="AJ11" s="7">
        <f t="shared" si="7"/>
        <v>0</v>
      </c>
    </row>
    <row r="12" spans="1:37" x14ac:dyDescent="0.25">
      <c r="S12" s="28"/>
      <c r="T12" s="28"/>
      <c r="U12" s="33" t="s">
        <v>281</v>
      </c>
      <c r="V12" s="7">
        <f t="shared" si="1"/>
        <v>0</v>
      </c>
      <c r="X12" s="35" t="s">
        <v>140</v>
      </c>
      <c r="Y12" s="7">
        <f t="shared" si="2"/>
        <v>0</v>
      </c>
      <c r="Z12" s="7">
        <f t="shared" si="3"/>
        <v>0</v>
      </c>
      <c r="AA12" s="7">
        <f t="shared" si="4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5"/>
        <v>0</v>
      </c>
      <c r="AG12" s="7">
        <f t="shared" si="6"/>
        <v>0</v>
      </c>
      <c r="AH12" s="7">
        <f t="shared" si="6"/>
        <v>0</v>
      </c>
      <c r="AI12" s="7">
        <f t="shared" si="6"/>
        <v>0</v>
      </c>
      <c r="AJ12" s="7">
        <f t="shared" si="7"/>
        <v>0</v>
      </c>
    </row>
    <row r="13" spans="1:37" x14ac:dyDescent="0.25">
      <c r="S13" s="28"/>
      <c r="T13" s="28"/>
      <c r="U13" s="32" t="s">
        <v>282</v>
      </c>
      <c r="V13" s="7">
        <f t="shared" si="1"/>
        <v>0</v>
      </c>
      <c r="X13" s="34" t="s">
        <v>141</v>
      </c>
      <c r="Y13" s="7">
        <f t="shared" si="2"/>
        <v>150</v>
      </c>
      <c r="Z13" s="7">
        <f t="shared" si="3"/>
        <v>480</v>
      </c>
      <c r="AA13" s="7">
        <f t="shared" si="4"/>
        <v>140.5</v>
      </c>
      <c r="AB13" s="7">
        <f t="shared" si="0"/>
        <v>0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5"/>
        <v>0</v>
      </c>
      <c r="AG13" s="7">
        <f t="shared" si="6"/>
        <v>0</v>
      </c>
      <c r="AH13" s="7">
        <f t="shared" si="6"/>
        <v>0</v>
      </c>
      <c r="AI13" s="7">
        <f t="shared" si="6"/>
        <v>0</v>
      </c>
      <c r="AJ13" s="7">
        <f t="shared" si="7"/>
        <v>770.5</v>
      </c>
    </row>
    <row r="14" spans="1:37" x14ac:dyDescent="0.25">
      <c r="S14" s="28"/>
      <c r="T14" s="28"/>
      <c r="U14" s="33" t="s">
        <v>283</v>
      </c>
      <c r="V14" s="7">
        <f t="shared" si="1"/>
        <v>0</v>
      </c>
      <c r="X14" s="35" t="s">
        <v>142</v>
      </c>
      <c r="Y14" s="7">
        <f t="shared" si="2"/>
        <v>0</v>
      </c>
      <c r="Z14" s="7">
        <f t="shared" si="3"/>
        <v>0</v>
      </c>
      <c r="AA14" s="7">
        <f t="shared" si="4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5"/>
        <v>0</v>
      </c>
      <c r="AG14" s="7">
        <f t="shared" si="6"/>
        <v>0</v>
      </c>
      <c r="AH14" s="7">
        <f t="shared" si="6"/>
        <v>0</v>
      </c>
      <c r="AI14" s="7">
        <f t="shared" si="6"/>
        <v>0</v>
      </c>
      <c r="AJ14" s="7">
        <f t="shared" si="7"/>
        <v>0</v>
      </c>
    </row>
    <row r="15" spans="1:37" x14ac:dyDescent="0.25">
      <c r="S15" s="28"/>
      <c r="T15" s="28"/>
      <c r="U15" s="32" t="s">
        <v>284</v>
      </c>
      <c r="V15" s="7">
        <f t="shared" si="1"/>
        <v>0</v>
      </c>
      <c r="X15" s="34" t="s">
        <v>143</v>
      </c>
      <c r="Y15" s="7">
        <f t="shared" si="2"/>
        <v>0</v>
      </c>
      <c r="Z15" s="7">
        <f t="shared" si="3"/>
        <v>0</v>
      </c>
      <c r="AA15" s="7">
        <f t="shared" si="4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5"/>
        <v>0</v>
      </c>
      <c r="AG15" s="7">
        <f t="shared" si="6"/>
        <v>0</v>
      </c>
      <c r="AH15" s="7">
        <f t="shared" si="6"/>
        <v>0</v>
      </c>
      <c r="AI15" s="7">
        <f t="shared" si="6"/>
        <v>0</v>
      </c>
      <c r="AJ15" s="7">
        <f t="shared" si="7"/>
        <v>0</v>
      </c>
    </row>
    <row r="16" spans="1:37" x14ac:dyDescent="0.25">
      <c r="S16" s="28"/>
      <c r="T16" s="28"/>
      <c r="U16" s="33" t="s">
        <v>285</v>
      </c>
      <c r="V16" s="7">
        <f t="shared" si="1"/>
        <v>0</v>
      </c>
      <c r="X16" s="35" t="s">
        <v>144</v>
      </c>
      <c r="Y16" s="7">
        <f t="shared" si="2"/>
        <v>0</v>
      </c>
      <c r="Z16" s="7">
        <f t="shared" si="3"/>
        <v>0</v>
      </c>
      <c r="AA16" s="7">
        <f t="shared" si="4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5"/>
        <v>0</v>
      </c>
      <c r="AG16" s="7">
        <f t="shared" si="6"/>
        <v>0</v>
      </c>
      <c r="AH16" s="7">
        <f t="shared" si="6"/>
        <v>0</v>
      </c>
      <c r="AI16" s="7">
        <f t="shared" si="6"/>
        <v>0</v>
      </c>
      <c r="AJ16" s="7">
        <f t="shared" si="7"/>
        <v>0</v>
      </c>
    </row>
    <row r="17" spans="19:36" x14ac:dyDescent="0.25">
      <c r="S17" s="28"/>
      <c r="T17" s="28"/>
      <c r="U17" s="32" t="s">
        <v>286</v>
      </c>
      <c r="V17" s="7">
        <f t="shared" si="1"/>
        <v>0</v>
      </c>
      <c r="X17" s="34" t="s">
        <v>145</v>
      </c>
      <c r="Y17" s="7">
        <f t="shared" si="2"/>
        <v>0</v>
      </c>
      <c r="Z17" s="7">
        <f t="shared" si="3"/>
        <v>0</v>
      </c>
      <c r="AA17" s="7">
        <f t="shared" si="4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5"/>
        <v>0</v>
      </c>
      <c r="AG17" s="7">
        <f t="shared" si="6"/>
        <v>0</v>
      </c>
      <c r="AH17" s="7">
        <f t="shared" si="6"/>
        <v>0</v>
      </c>
      <c r="AI17" s="7">
        <f t="shared" si="6"/>
        <v>0</v>
      </c>
      <c r="AJ17" s="7">
        <f t="shared" si="7"/>
        <v>0</v>
      </c>
    </row>
    <row r="18" spans="19:36" x14ac:dyDescent="0.25">
      <c r="X18" s="35" t="s">
        <v>146</v>
      </c>
      <c r="Y18" s="7">
        <f t="shared" si="2"/>
        <v>0</v>
      </c>
      <c r="Z18" s="7">
        <f t="shared" si="3"/>
        <v>0</v>
      </c>
      <c r="AA18" s="7">
        <f t="shared" si="4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5"/>
        <v>0</v>
      </c>
      <c r="AG18" s="7">
        <f t="shared" si="6"/>
        <v>0</v>
      </c>
      <c r="AH18" s="7">
        <f t="shared" si="6"/>
        <v>0</v>
      </c>
      <c r="AI18" s="7">
        <f t="shared" si="6"/>
        <v>0</v>
      </c>
      <c r="AJ18" s="7">
        <f t="shared" si="7"/>
        <v>0</v>
      </c>
    </row>
    <row r="19" spans="19:36" x14ac:dyDescent="0.25">
      <c r="X19" s="34" t="s">
        <v>147</v>
      </c>
      <c r="Y19" s="7">
        <f t="shared" si="2"/>
        <v>0</v>
      </c>
      <c r="Z19" s="7">
        <f t="shared" si="3"/>
        <v>0</v>
      </c>
      <c r="AA19" s="7">
        <f t="shared" si="4"/>
        <v>0</v>
      </c>
      <c r="AB19" s="7">
        <f t="shared" si="4"/>
        <v>0</v>
      </c>
      <c r="AC19" s="7">
        <f t="shared" si="4"/>
        <v>0</v>
      </c>
      <c r="AD19" s="7">
        <f t="shared" si="4"/>
        <v>0</v>
      </c>
      <c r="AE19" s="7">
        <f t="shared" si="4"/>
        <v>0</v>
      </c>
      <c r="AF19" s="7">
        <f t="shared" si="5"/>
        <v>0</v>
      </c>
      <c r="AG19" s="7">
        <f t="shared" si="6"/>
        <v>0</v>
      </c>
      <c r="AH19" s="7">
        <f t="shared" si="6"/>
        <v>0</v>
      </c>
      <c r="AI19" s="7">
        <f t="shared" si="6"/>
        <v>0</v>
      </c>
      <c r="AJ19" s="7">
        <f t="shared" si="7"/>
        <v>0</v>
      </c>
    </row>
    <row r="20" spans="19:36" x14ac:dyDescent="0.25">
      <c r="X20" s="35" t="s">
        <v>148</v>
      </c>
      <c r="Y20" s="7">
        <f t="shared" si="2"/>
        <v>0</v>
      </c>
      <c r="Z20" s="7">
        <f t="shared" si="3"/>
        <v>0</v>
      </c>
      <c r="AA20" s="7">
        <f t="shared" si="4"/>
        <v>0</v>
      </c>
      <c r="AB20" s="7">
        <f t="shared" si="4"/>
        <v>0</v>
      </c>
      <c r="AC20" s="7">
        <f t="shared" si="4"/>
        <v>0</v>
      </c>
      <c r="AD20" s="7">
        <f t="shared" si="4"/>
        <v>0</v>
      </c>
      <c r="AE20" s="7">
        <f t="shared" si="4"/>
        <v>0</v>
      </c>
      <c r="AF20" s="7">
        <f t="shared" si="5"/>
        <v>0</v>
      </c>
      <c r="AG20" s="7">
        <f t="shared" si="6"/>
        <v>0</v>
      </c>
      <c r="AH20" s="7">
        <f t="shared" si="6"/>
        <v>0</v>
      </c>
      <c r="AI20" s="7">
        <f t="shared" si="6"/>
        <v>0</v>
      </c>
      <c r="AJ20" s="7">
        <f t="shared" si="7"/>
        <v>0</v>
      </c>
    </row>
    <row r="21" spans="19:36" x14ac:dyDescent="0.25">
      <c r="X21" s="34" t="s">
        <v>149</v>
      </c>
      <c r="Y21" s="7">
        <f t="shared" si="2"/>
        <v>0</v>
      </c>
      <c r="Z21" s="7">
        <f t="shared" si="3"/>
        <v>0</v>
      </c>
      <c r="AA21" s="7">
        <f t="shared" si="4"/>
        <v>0</v>
      </c>
      <c r="AB21" s="7">
        <f t="shared" si="4"/>
        <v>0</v>
      </c>
      <c r="AC21" s="7">
        <f t="shared" si="4"/>
        <v>0</v>
      </c>
      <c r="AD21" s="7">
        <f t="shared" si="4"/>
        <v>0</v>
      </c>
      <c r="AE21" s="7">
        <f t="shared" si="4"/>
        <v>0</v>
      </c>
      <c r="AF21" s="7">
        <f t="shared" si="5"/>
        <v>0</v>
      </c>
      <c r="AG21" s="7">
        <f t="shared" si="6"/>
        <v>0</v>
      </c>
      <c r="AH21" s="7">
        <f t="shared" si="6"/>
        <v>0</v>
      </c>
      <c r="AI21" s="7">
        <f t="shared" si="6"/>
        <v>0</v>
      </c>
      <c r="AJ21" s="7">
        <f t="shared" si="7"/>
        <v>0</v>
      </c>
    </row>
    <row r="22" spans="19:36" x14ac:dyDescent="0.25">
      <c r="X22" s="35" t="s">
        <v>150</v>
      </c>
      <c r="Y22" s="7">
        <f t="shared" si="2"/>
        <v>0</v>
      </c>
      <c r="Z22" s="7">
        <f t="shared" si="3"/>
        <v>0</v>
      </c>
      <c r="AA22" s="7">
        <f t="shared" si="4"/>
        <v>0</v>
      </c>
      <c r="AB22" s="7">
        <f t="shared" si="4"/>
        <v>0</v>
      </c>
      <c r="AC22" s="7">
        <f t="shared" si="4"/>
        <v>0</v>
      </c>
      <c r="AD22" s="7">
        <f t="shared" si="4"/>
        <v>0</v>
      </c>
      <c r="AE22" s="7">
        <f t="shared" si="4"/>
        <v>0</v>
      </c>
      <c r="AF22" s="7">
        <f t="shared" si="5"/>
        <v>0</v>
      </c>
      <c r="AG22" s="7">
        <f t="shared" si="6"/>
        <v>0</v>
      </c>
      <c r="AH22" s="7">
        <f t="shared" si="6"/>
        <v>0</v>
      </c>
      <c r="AI22" s="7">
        <f t="shared" si="6"/>
        <v>0</v>
      </c>
      <c r="AJ22" s="7">
        <f t="shared" si="7"/>
        <v>0</v>
      </c>
    </row>
    <row r="23" spans="19:36" x14ac:dyDescent="0.25">
      <c r="X23" s="34" t="s">
        <v>151</v>
      </c>
      <c r="Y23" s="7">
        <f t="shared" si="2"/>
        <v>0</v>
      </c>
      <c r="Z23" s="7">
        <f t="shared" si="3"/>
        <v>0</v>
      </c>
      <c r="AA23" s="7">
        <f t="shared" si="4"/>
        <v>0</v>
      </c>
      <c r="AB23" s="7">
        <f t="shared" si="4"/>
        <v>0</v>
      </c>
      <c r="AC23" s="7">
        <f t="shared" si="4"/>
        <v>0</v>
      </c>
      <c r="AD23" s="7">
        <f t="shared" si="4"/>
        <v>0</v>
      </c>
      <c r="AE23" s="7">
        <f t="shared" si="4"/>
        <v>0</v>
      </c>
      <c r="AF23" s="7">
        <f t="shared" si="5"/>
        <v>0</v>
      </c>
      <c r="AG23" s="7">
        <f t="shared" si="6"/>
        <v>0</v>
      </c>
      <c r="AH23" s="7">
        <f t="shared" si="6"/>
        <v>0</v>
      </c>
      <c r="AI23" s="7">
        <f t="shared" si="6"/>
        <v>0</v>
      </c>
      <c r="AJ23" s="7">
        <f t="shared" si="7"/>
        <v>0</v>
      </c>
    </row>
    <row r="24" spans="19:36" x14ac:dyDescent="0.25">
      <c r="X24" s="35" t="s">
        <v>152</v>
      </c>
      <c r="Y24" s="7">
        <f t="shared" si="2"/>
        <v>0</v>
      </c>
      <c r="Z24" s="7">
        <f t="shared" si="3"/>
        <v>0</v>
      </c>
      <c r="AA24" s="7">
        <f t="shared" si="4"/>
        <v>0</v>
      </c>
      <c r="AB24" s="7">
        <f t="shared" si="4"/>
        <v>0</v>
      </c>
      <c r="AC24" s="7">
        <f t="shared" si="4"/>
        <v>0</v>
      </c>
      <c r="AD24" s="7">
        <f t="shared" si="4"/>
        <v>0</v>
      </c>
      <c r="AE24" s="7">
        <f t="shared" si="4"/>
        <v>0</v>
      </c>
      <c r="AF24" s="7">
        <f t="shared" si="5"/>
        <v>0</v>
      </c>
      <c r="AG24" s="7">
        <f t="shared" si="6"/>
        <v>0</v>
      </c>
      <c r="AH24" s="7">
        <f t="shared" si="6"/>
        <v>0</v>
      </c>
      <c r="AI24" s="7">
        <f t="shared" si="6"/>
        <v>0</v>
      </c>
      <c r="AJ24" s="7">
        <f t="shared" si="7"/>
        <v>0</v>
      </c>
    </row>
    <row r="25" spans="19:36" x14ac:dyDescent="0.25">
      <c r="X25" s="34" t="s">
        <v>153</v>
      </c>
      <c r="Y25" s="7">
        <f t="shared" si="2"/>
        <v>0</v>
      </c>
      <c r="Z25" s="7">
        <f t="shared" si="3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</v>
      </c>
      <c r="AE25" s="7">
        <f t="shared" si="4"/>
        <v>0</v>
      </c>
      <c r="AF25" s="7">
        <f t="shared" si="5"/>
        <v>0</v>
      </c>
      <c r="AG25" s="7">
        <f t="shared" si="6"/>
        <v>0</v>
      </c>
      <c r="AH25" s="7">
        <f t="shared" si="6"/>
        <v>0</v>
      </c>
      <c r="AI25" s="7">
        <f t="shared" si="6"/>
        <v>0</v>
      </c>
      <c r="AJ25" s="7">
        <f t="shared" si="7"/>
        <v>0</v>
      </c>
    </row>
    <row r="26" spans="19:36" x14ac:dyDescent="0.25">
      <c r="X26" s="35" t="s">
        <v>154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4"/>
        <v>0</v>
      </c>
      <c r="AC26" s="7">
        <f t="shared" si="4"/>
        <v>0</v>
      </c>
      <c r="AD26" s="7">
        <f t="shared" si="4"/>
        <v>0</v>
      </c>
      <c r="AE26" s="7">
        <f t="shared" si="4"/>
        <v>0</v>
      </c>
      <c r="AF26" s="7">
        <f t="shared" si="5"/>
        <v>0</v>
      </c>
      <c r="AG26" s="7">
        <f t="shared" si="6"/>
        <v>0</v>
      </c>
      <c r="AH26" s="7">
        <f t="shared" si="6"/>
        <v>0</v>
      </c>
      <c r="AI26" s="7">
        <f t="shared" si="6"/>
        <v>0</v>
      </c>
      <c r="AJ26" s="7">
        <f t="shared" si="7"/>
        <v>0</v>
      </c>
    </row>
    <row r="27" spans="19:36" x14ac:dyDescent="0.25">
      <c r="AG27" s="7"/>
      <c r="AH27" t="s">
        <v>291</v>
      </c>
      <c r="AJ27" s="7">
        <v>770.5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4"/>
  <dimension ref="A1:I4"/>
  <sheetViews>
    <sheetView workbookViewId="0">
      <selection activeCell="C9" sqref="C9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18" t="s">
        <v>106</v>
      </c>
      <c r="B3" s="18" t="s">
        <v>110</v>
      </c>
      <c r="C3" s="18" t="s">
        <v>305</v>
      </c>
      <c r="D3" s="18" t="s">
        <v>304</v>
      </c>
      <c r="E3" s="18" t="s">
        <v>306</v>
      </c>
      <c r="H3" t="s">
        <v>291</v>
      </c>
      <c r="I3" s="7">
        <f>SUM(D:D)</f>
        <v>0</v>
      </c>
    </row>
    <row r="4" spans="1:9" x14ac:dyDescent="0.25">
      <c r="A4" s="1">
        <v>44335</v>
      </c>
      <c r="B4" s="1">
        <v>44335</v>
      </c>
      <c r="C4" s="28" t="s">
        <v>329</v>
      </c>
      <c r="D4" s="56">
        <v>0</v>
      </c>
      <c r="E4" s="28" t="s">
        <v>330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23">
    <pageSetUpPr fitToPage="1"/>
  </sheetPr>
  <dimension ref="A1:XFC7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28" bestFit="1" customWidth="1"/>
    <col min="2" max="2" width="17.28515625" style="28" bestFit="1" customWidth="1"/>
    <col min="3" max="3" width="11.42578125" style="28" bestFit="1" customWidth="1"/>
    <col min="4" max="4" width="44.7109375" style="28" customWidth="1"/>
    <col min="5" max="5" width="29.85546875" style="7" customWidth="1"/>
    <col min="6" max="6" width="18" style="7" hidden="1" customWidth="1"/>
    <col min="7" max="7" width="15.42578125" style="7" hidden="1" customWidth="1"/>
    <col min="8" max="8" width="11.7109375" style="7" hidden="1" customWidth="1"/>
    <col min="9" max="9" width="11.85546875" style="7" hidden="1" customWidth="1"/>
    <col min="10" max="10" width="17.85546875" style="7" hidden="1" customWidth="1"/>
    <col min="11" max="11" width="18" style="7" hidden="1" customWidth="1"/>
    <col min="12" max="12" width="10.28515625" style="7" hidden="1" customWidth="1"/>
    <col min="13" max="13" width="8.85546875" style="7" hidden="1" customWidth="1"/>
    <col min="14" max="14" width="18.140625" style="28" hidden="1" customWidth="1"/>
    <col min="15" max="15" width="7.42578125" style="28" hidden="1" customWidth="1"/>
    <col min="16" max="16" width="10" style="28" hidden="1" customWidth="1"/>
    <col min="17" max="17" width="17.28515625" style="28" hidden="1" customWidth="1"/>
    <col min="18" max="18" width="15" style="28" hidden="1" customWidth="1"/>
    <col min="19" max="19" width="7.5703125" style="28" hidden="1" customWidth="1"/>
    <col min="20" max="21" width="13.5703125" style="12" hidden="1"/>
    <col min="22" max="22" width="12.28515625" style="12" hidden="1"/>
    <col min="23" max="23" width="13.140625" style="12" hidden="1"/>
    <col min="24" max="24" width="11.28515625" style="12" hidden="1"/>
    <col min="25" max="25" width="7.5703125" style="12" hidden="1"/>
    <col min="26" max="30" width="7.5703125" style="28" hidden="1"/>
    <col min="31" max="16383" width="9.140625" style="28" hidden="1"/>
    <col min="16384" max="16384" width="3.42578125" style="28" hidden="1"/>
  </cols>
  <sheetData>
    <row r="1" spans="1:27" ht="36" customHeight="1" thickBot="1" x14ac:dyDescent="0.4">
      <c r="A1" s="90" t="s">
        <v>310</v>
      </c>
      <c r="B1" s="90"/>
      <c r="C1" s="90"/>
      <c r="D1" s="90"/>
      <c r="E1" s="90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s="28" t="s">
        <v>300</v>
      </c>
      <c r="B2" s="57">
        <v>44228</v>
      </c>
      <c r="C2" s="27" t="s">
        <v>298</v>
      </c>
      <c r="D2" s="57">
        <v>44285</v>
      </c>
      <c r="F2" s="15" t="s">
        <v>106</v>
      </c>
      <c r="G2" s="15" t="s">
        <v>106</v>
      </c>
      <c r="H2" s="15"/>
      <c r="I2" s="15"/>
      <c r="J2" s="15"/>
      <c r="K2" s="15"/>
      <c r="L2" s="15"/>
      <c r="M2" s="15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/>
      <c r="B3"/>
      <c r="C3"/>
      <c r="D3"/>
      <c r="E3" s="14"/>
      <c r="F3" s="15" t="str">
        <f>"&gt;="&amp;IF($B$2="",0,$B$2)</f>
        <v>&gt;=44228</v>
      </c>
      <c r="G3" s="15" t="str">
        <f>"&lt;="&amp;IF($D$2="",999999,$D$2)</f>
        <v>&lt;=44285</v>
      </c>
      <c r="H3" s="15"/>
      <c r="I3" s="15"/>
      <c r="J3" s="15"/>
      <c r="K3" s="15"/>
      <c r="L3" s="15"/>
      <c r="M3" s="15"/>
      <c r="O3" s="9"/>
      <c r="P3" s="9"/>
      <c r="Q3" s="12"/>
      <c r="R3" s="12"/>
      <c r="S3" s="12"/>
      <c r="T3" s="44" t="str">
        <f>"&gt;="&amp;IF($B$2="",0,$B$2)</f>
        <v>&gt;=44228</v>
      </c>
      <c r="U3" s="44" t="str">
        <f>"&lt;="&amp;IF($D$2="",999999,$D$2)</f>
        <v>&lt;=44285</v>
      </c>
      <c r="V3" s="44" t="str">
        <f>IF($B$3&lt;&gt;"",$B$3,"")</f>
        <v/>
      </c>
      <c r="W3" s="44" t="e">
        <f>IF(#REF!&lt;&gt;"",#REF!,"")</f>
        <v>#REF!</v>
      </c>
      <c r="X3" s="44" t="e">
        <f>IF(#REF!&lt;&gt;"",#REF!,"")</f>
        <v>#REF!</v>
      </c>
      <c r="Y3" s="44" t="e">
        <f>IF(#REF!&lt;&gt;"",#REF!,"")</f>
        <v>#REF!</v>
      </c>
      <c r="Z3" s="9"/>
      <c r="AA3" s="9"/>
    </row>
    <row r="4" spans="1:27" x14ac:dyDescent="0.25">
      <c r="A4" s="84" t="s">
        <v>106</v>
      </c>
      <c r="B4" s="84" t="s">
        <v>110</v>
      </c>
      <c r="C4" s="84" t="s">
        <v>304</v>
      </c>
      <c r="D4" s="84" t="s">
        <v>305</v>
      </c>
      <c r="E4" s="84" t="s">
        <v>306</v>
      </c>
      <c r="F4" s="13"/>
      <c r="G4" s="13"/>
      <c r="H4" s="13"/>
      <c r="I4" s="13"/>
      <c r="J4" s="13"/>
      <c r="K4" s="13"/>
      <c r="L4" s="13"/>
      <c r="M4" s="13"/>
      <c r="N4" s="1"/>
      <c r="Q4" s="1"/>
      <c r="T4" s="3" t="s">
        <v>295</v>
      </c>
    </row>
    <row r="5" spans="1:27" x14ac:dyDescent="0.25">
      <c r="A5" s="1"/>
      <c r="B5" s="1"/>
      <c r="C5" s="29"/>
      <c r="E5" s="28"/>
      <c r="F5" s="13"/>
      <c r="G5" s="13"/>
      <c r="H5" s="13"/>
      <c r="I5" s="13"/>
      <c r="J5" s="13"/>
      <c r="K5" s="13"/>
      <c r="L5" s="13"/>
      <c r="M5" s="13"/>
      <c r="N5" s="1"/>
    </row>
    <row r="6" spans="1:27" x14ac:dyDescent="0.25">
      <c r="A6" s="1"/>
      <c r="B6" s="1"/>
      <c r="C6" s="29"/>
      <c r="E6" s="28"/>
      <c r="F6" s="13"/>
      <c r="G6" s="13"/>
      <c r="H6" s="13"/>
      <c r="I6" s="13"/>
      <c r="J6" s="13"/>
      <c r="K6" s="13"/>
      <c r="L6" s="13"/>
      <c r="M6" s="13"/>
      <c r="N6" s="1"/>
      <c r="P6" s="36"/>
      <c r="Q6" s="1"/>
    </row>
    <row r="7" spans="1:27" x14ac:dyDescent="0.25">
      <c r="A7" s="1"/>
      <c r="B7" s="1"/>
      <c r="C7" s="29"/>
      <c r="E7" s="28"/>
      <c r="F7" s="37"/>
      <c r="G7" s="37"/>
      <c r="H7" s="37"/>
      <c r="I7" s="37"/>
      <c r="J7" s="37"/>
      <c r="K7" s="37"/>
      <c r="L7" s="37"/>
      <c r="M7" s="37"/>
      <c r="N7" s="38"/>
      <c r="O7" s="8"/>
      <c r="P7" s="39"/>
      <c r="Q7" s="38"/>
      <c r="R7" s="8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6.28515625" style="72" customWidth="1"/>
    <col min="4" max="4" width="14.85546875" style="28" customWidth="1"/>
    <col min="5" max="5" width="16.42578125" style="7" customWidth="1"/>
    <col min="6" max="6" width="18" style="7" bestFit="1" customWidth="1"/>
    <col min="7" max="7" width="15.42578125" style="7" bestFit="1" customWidth="1"/>
    <col min="8" max="8" width="15.5703125" style="7" bestFit="1" customWidth="1"/>
    <col min="9" max="9" width="11.85546875" style="7" bestFit="1" customWidth="1"/>
    <col min="10" max="10" width="17.85546875" style="7" bestFit="1" customWidth="1"/>
    <col min="11" max="11" width="18" style="7" bestFit="1" customWidth="1"/>
    <col min="12" max="12" width="10.28515625" style="7" bestFit="1" customWidth="1"/>
    <col min="13" max="13" width="8.85546875" style="7" bestFit="1" customWidth="1"/>
    <col min="14" max="14" width="18.140625" style="28" bestFit="1" customWidth="1"/>
    <col min="15" max="15" width="7.42578125" style="28" bestFit="1" customWidth="1"/>
    <col min="16" max="16" width="10" style="28" bestFit="1" customWidth="1"/>
    <col min="17" max="17" width="17.28515625" style="28" bestFit="1" customWidth="1"/>
    <col min="18" max="18" width="15" style="28" bestFit="1" customWidth="1"/>
    <col min="19" max="19" width="10.42578125" hidden="1" customWidth="1"/>
    <col min="20" max="25" width="10.42578125" style="12" hidden="1" customWidth="1"/>
    <col min="26" max="26" width="4.7109375" hidden="1" customWidth="1"/>
    <col min="27" max="27" width="0" hidden="1" customWidth="1"/>
    <col min="28" max="16384" width="4.7109375" hidden="1"/>
  </cols>
  <sheetData>
    <row r="1" spans="1:27" ht="36" customHeight="1" thickBot="1" x14ac:dyDescent="0.4">
      <c r="A1" s="90" t="s">
        <v>111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46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t="s">
        <v>300</v>
      </c>
      <c r="B2" s="45"/>
      <c r="C2" s="65" t="s">
        <v>298</v>
      </c>
      <c r="D2" s="45"/>
      <c r="F2" s="15"/>
      <c r="G2" s="15"/>
      <c r="H2" s="15"/>
      <c r="I2" s="15"/>
      <c r="J2" s="15"/>
      <c r="K2" s="15"/>
      <c r="L2" s="15"/>
      <c r="M2" s="15"/>
      <c r="N2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98"/>
      <c r="C3" s="98"/>
      <c r="D3" s="98"/>
      <c r="E3" s="14"/>
      <c r="F3" s="15"/>
      <c r="G3" s="15"/>
      <c r="H3" s="15"/>
      <c r="I3" s="15"/>
      <c r="J3" s="15"/>
      <c r="K3" s="15"/>
      <c r="L3" s="15"/>
      <c r="M3" s="15"/>
      <c r="N3"/>
      <c r="O3" s="9"/>
      <c r="P3" s="9"/>
      <c r="Q3" s="12"/>
      <c r="R3" s="12"/>
      <c r="S3" s="12"/>
      <c r="T3" s="44" t="str">
        <f>"&gt;="&amp;IF($B$2="",0,$B$2)</f>
        <v>&gt;=0</v>
      </c>
      <c r="U3" s="44" t="str">
        <f>"&lt;="&amp;IF($D$2="",999999,$D$2)</f>
        <v>&lt;=999999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97"/>
      <c r="C4" s="97"/>
      <c r="D4" s="97"/>
      <c r="E4" s="14"/>
      <c r="F4" s="24"/>
      <c r="G4" s="15"/>
      <c r="H4" s="23"/>
      <c r="I4" s="23"/>
      <c r="J4" s="23"/>
      <c r="K4" s="23"/>
      <c r="L4" s="15"/>
      <c r="M4" s="15"/>
      <c r="N4" s="9"/>
      <c r="O4" s="9"/>
      <c r="P4" s="9"/>
      <c r="Q4" s="12"/>
      <c r="R4" s="12"/>
      <c r="S4" s="12"/>
      <c r="T4" s="9"/>
      <c r="U4" s="9"/>
      <c r="V4" s="9"/>
      <c r="W4" s="9"/>
      <c r="X4" s="9"/>
      <c r="Y4" s="9"/>
      <c r="Z4" s="9"/>
      <c r="AA4" s="9"/>
    </row>
    <row r="5" spans="1:27" x14ac:dyDescent="0.25">
      <c r="A5" s="10" t="s">
        <v>102</v>
      </c>
      <c r="B5" s="97"/>
      <c r="C5" s="97"/>
      <c r="D5" s="8"/>
      <c r="E5" s="16"/>
      <c r="F5" s="25"/>
      <c r="G5" s="15"/>
      <c r="H5" s="15"/>
      <c r="I5" s="15"/>
      <c r="J5" s="15"/>
      <c r="K5" s="15"/>
      <c r="L5" s="15"/>
      <c r="M5" s="15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x14ac:dyDescent="0.25">
      <c r="A6" s="10" t="s">
        <v>299</v>
      </c>
      <c r="B6" s="97"/>
      <c r="C6" s="97"/>
      <c r="D6"/>
      <c r="E6" s="17"/>
      <c r="F6" s="26"/>
      <c r="G6" s="15"/>
      <c r="H6" s="15"/>
      <c r="I6" s="15"/>
      <c r="J6" s="15"/>
      <c r="K6" s="15"/>
      <c r="L6" s="15"/>
      <c r="M6" s="15"/>
      <c r="N6" s="9"/>
      <c r="O6" s="9"/>
      <c r="P6" s="9"/>
      <c r="Q6" s="9"/>
      <c r="R6" s="9"/>
      <c r="S6" s="9"/>
      <c r="T6" s="9" t="s">
        <v>99</v>
      </c>
      <c r="U6" s="9" t="s">
        <v>109</v>
      </c>
      <c r="V6" s="9"/>
      <c r="W6" s="9"/>
      <c r="X6" s="9"/>
      <c r="Y6" s="9"/>
      <c r="Z6" s="9"/>
      <c r="AA6" s="9"/>
    </row>
    <row r="7" spans="1:27" x14ac:dyDescent="0.25">
      <c r="A7" s="84" t="s">
        <v>105</v>
      </c>
      <c r="B7" s="84" t="s">
        <v>51</v>
      </c>
      <c r="C7" s="85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113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110</v>
      </c>
      <c r="R7" s="84" t="s">
        <v>85</v>
      </c>
    </row>
    <row r="8" spans="1:27" x14ac:dyDescent="0.25">
      <c r="A8" s="28" t="s">
        <v>141</v>
      </c>
      <c r="B8" s="28">
        <v>2010099954</v>
      </c>
      <c r="C8" s="5">
        <v>2010099954</v>
      </c>
      <c r="D8" s="83">
        <v>44296</v>
      </c>
      <c r="E8" s="13">
        <v>150</v>
      </c>
      <c r="F8" s="13">
        <v>480</v>
      </c>
      <c r="G8" s="13">
        <v>140.5</v>
      </c>
      <c r="H8" s="13">
        <v>0</v>
      </c>
      <c r="L8" s="13">
        <v>0</v>
      </c>
      <c r="M8" s="29">
        <v>770.5</v>
      </c>
      <c r="N8" s="1">
        <v>44335</v>
      </c>
      <c r="O8" s="28" t="s">
        <v>116</v>
      </c>
      <c r="P8" s="28" t="s">
        <v>99</v>
      </c>
      <c r="R8" s="28" t="s">
        <v>274</v>
      </c>
    </row>
  </sheetData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00000000-0002-0000-0F00-000000000000}">
      <formula1>Perito</formula1>
    </dataValidation>
    <dataValidation type="list" allowBlank="1" showInputMessage="1" showErrorMessage="1" sqref="B4:D4" xr:uid="{00000000-0002-0000-0F00-000001000000}">
      <formula1>Seguradora</formula1>
    </dataValidation>
    <dataValidation type="list" allowBlank="1" showInputMessage="1" showErrorMessage="1" sqref="B6:C6" xr:uid="{00000000-0002-0000-0F00-000002000000}">
      <formula1>$U$6:$U$6</formula1>
    </dataValidation>
    <dataValidation type="list" allowBlank="1" showInputMessage="1" showErrorMessage="1" sqref="B5:C5" xr:uid="{00000000-0002-0000-0F00-000003000000}">
      <formula1>$T$6:$T$6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>
    <pageSetUpPr fitToPage="1"/>
  </sheetPr>
  <dimension ref="A1:XFC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1.42578125" style="28" bestFit="1" customWidth="1"/>
    <col min="4" max="4" width="14.140625" style="28" customWidth="1"/>
    <col min="5" max="5" width="17.28515625" style="7" customWidth="1"/>
    <col min="6" max="6" width="18" style="7" bestFit="1" customWidth="1"/>
    <col min="7" max="7" width="15.42578125" style="7" bestFit="1" customWidth="1"/>
    <col min="8" max="8" width="11.7109375" style="7" bestFit="1" customWidth="1"/>
    <col min="9" max="9" width="11.85546875" style="7" bestFit="1" customWidth="1"/>
    <col min="10" max="10" width="18" style="7" customWidth="1"/>
    <col min="11" max="11" width="18.5703125" style="7" bestFit="1" customWidth="1"/>
    <col min="12" max="12" width="19.140625" style="7" bestFit="1" customWidth="1"/>
    <col min="13" max="13" width="11.140625" style="7" bestFit="1" customWidth="1"/>
    <col min="14" max="14" width="22.7109375" style="28" bestFit="1" customWidth="1"/>
    <col min="15" max="15" width="11.140625" style="28" bestFit="1" customWidth="1"/>
    <col min="16" max="16" width="10" style="28" bestFit="1" customWidth="1"/>
    <col min="17" max="17" width="22.7109375" style="28" bestFit="1" customWidth="1"/>
    <col min="18" max="18" width="18.7109375" style="28" customWidth="1"/>
    <col min="19" max="19" width="7.7109375" hidden="1"/>
    <col min="20" max="35" width="14.42578125" hidden="1"/>
    <col min="36" max="16383" width="9.140625" hidden="1"/>
    <col min="16384" max="16384" width="1.28515625" hidden="1"/>
  </cols>
  <sheetData>
    <row r="1" spans="1:27" ht="36" customHeight="1" thickBot="1" x14ac:dyDescent="0.4">
      <c r="A1" s="90" t="s">
        <v>117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46"/>
      <c r="S1" s="11"/>
      <c r="Z1" s="11"/>
      <c r="AA1" s="11"/>
    </row>
    <row r="2" spans="1:27" x14ac:dyDescent="0.25">
      <c r="A2" s="28" t="s">
        <v>300</v>
      </c>
      <c r="B2" s="45"/>
      <c r="C2" s="27" t="s">
        <v>298</v>
      </c>
      <c r="D2" s="45"/>
      <c r="L2" s="15"/>
      <c r="M2" s="19"/>
      <c r="N2" s="3"/>
      <c r="O2" s="3"/>
      <c r="P2" s="3"/>
      <c r="Q2" s="3"/>
      <c r="R2" s="3"/>
      <c r="S2" s="3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98"/>
      <c r="C3" s="98"/>
      <c r="D3" s="98"/>
      <c r="E3" s="14"/>
      <c r="L3" s="15"/>
      <c r="M3" s="19"/>
      <c r="N3" s="3"/>
      <c r="O3" s="3"/>
      <c r="P3" s="3"/>
      <c r="Q3" s="3"/>
      <c r="R3" s="3"/>
      <c r="S3" s="3"/>
      <c r="T3" s="44" t="str">
        <f>"&gt;="&amp;IF($B$2="",0,$B$2)</f>
        <v>&gt;=0</v>
      </c>
      <c r="U3" s="44" t="str">
        <f>"&lt;="&amp;IF($D$2="",99999,$D$2)</f>
        <v>&lt;=99999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97"/>
      <c r="C4" s="97"/>
      <c r="D4" s="97"/>
      <c r="E4" s="14"/>
      <c r="F4" s="24"/>
      <c r="G4" s="15"/>
      <c r="H4" s="23"/>
      <c r="I4" s="23"/>
      <c r="J4" s="23"/>
      <c r="K4" s="23"/>
      <c r="L4" s="15"/>
      <c r="M4" s="19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9"/>
      <c r="AA4" s="9"/>
    </row>
    <row r="5" spans="1:27" x14ac:dyDescent="0.25">
      <c r="A5" s="10" t="s">
        <v>102</v>
      </c>
      <c r="B5" s="97"/>
      <c r="C5" s="97"/>
      <c r="D5" s="8"/>
      <c r="E5" s="16"/>
      <c r="F5" s="20"/>
      <c r="G5" s="19"/>
      <c r="H5" s="15"/>
      <c r="I5" s="15"/>
      <c r="J5" s="15"/>
      <c r="K5" s="15"/>
      <c r="L5" s="15"/>
      <c r="M5" s="19"/>
      <c r="N5" s="3"/>
      <c r="O5" s="3"/>
      <c r="P5" s="3"/>
      <c r="Q5" s="3"/>
      <c r="R5" s="3"/>
      <c r="S5" s="3"/>
      <c r="T5" s="47" t="s">
        <v>99</v>
      </c>
      <c r="U5" s="47" t="s">
        <v>109</v>
      </c>
      <c r="V5" s="3"/>
      <c r="W5" s="3"/>
      <c r="X5" s="3"/>
      <c r="Y5" s="3"/>
      <c r="Z5" s="9"/>
      <c r="AA5" s="9"/>
    </row>
    <row r="6" spans="1:27" x14ac:dyDescent="0.25">
      <c r="A6" s="10" t="s">
        <v>299</v>
      </c>
      <c r="B6" s="97"/>
      <c r="C6" s="97"/>
      <c r="D6"/>
      <c r="E6" s="17"/>
      <c r="F6" s="21"/>
      <c r="G6" s="19"/>
      <c r="H6" s="19"/>
      <c r="I6" s="19"/>
      <c r="J6" s="19"/>
      <c r="K6" s="19"/>
      <c r="L6" s="19"/>
      <c r="M6" s="15"/>
      <c r="N6" s="9"/>
      <c r="O6" s="9"/>
      <c r="P6" s="9"/>
      <c r="Q6" s="9"/>
      <c r="R6" s="9"/>
      <c r="S6" s="9"/>
      <c r="T6" s="48" t="s">
        <v>288</v>
      </c>
      <c r="U6" s="48" t="s">
        <v>116</v>
      </c>
      <c r="V6" s="9"/>
      <c r="W6" s="9"/>
      <c r="X6" s="9"/>
      <c r="Y6" s="9"/>
      <c r="Z6" s="9"/>
      <c r="AA6" s="9"/>
    </row>
    <row r="7" spans="1:27" s="84" customFormat="1" x14ac:dyDescent="0.25">
      <c r="A7" s="84" t="s">
        <v>105</v>
      </c>
      <c r="B7" s="84" t="s">
        <v>51</v>
      </c>
      <c r="C7" s="84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118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84</v>
      </c>
      <c r="R7" s="84" t="s">
        <v>85</v>
      </c>
      <c r="T7" s="84" t="s">
        <v>295</v>
      </c>
    </row>
    <row r="8" spans="1:27" x14ac:dyDescent="0.25">
      <c r="A8" s="28" t="s">
        <v>141</v>
      </c>
      <c r="B8" s="28">
        <v>2010099954</v>
      </c>
      <c r="C8" s="22">
        <v>2010099954</v>
      </c>
      <c r="D8" s="83">
        <v>44296</v>
      </c>
      <c r="E8" s="13">
        <v>0</v>
      </c>
      <c r="F8" s="13">
        <v>480</v>
      </c>
      <c r="G8" s="13">
        <v>140.5</v>
      </c>
      <c r="H8" s="13">
        <v>0</v>
      </c>
      <c r="L8" s="13">
        <v>0</v>
      </c>
      <c r="M8" s="29">
        <v>976.5</v>
      </c>
      <c r="N8" s="1">
        <v>44335</v>
      </c>
      <c r="O8" s="28" t="s">
        <v>116</v>
      </c>
      <c r="P8" s="28" t="s">
        <v>295</v>
      </c>
      <c r="Q8" s="1">
        <v>44337</v>
      </c>
      <c r="R8" s="28" t="s">
        <v>274</v>
      </c>
    </row>
  </sheetData>
  <autoFilter ref="A7:R7" xr:uid="{00000000-0009-0000-0000-000010000000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00000000-0002-0000-1000-000000000000}">
      <formula1>Seguradora</formula1>
    </dataValidation>
    <dataValidation type="list" allowBlank="1" showInputMessage="1" showErrorMessage="1" sqref="B1:D1 B3:D3" xr:uid="{00000000-0002-0000-1000-000001000000}">
      <formula1>Perito</formula1>
    </dataValidation>
    <dataValidation type="list" allowBlank="1" showInputMessage="1" showErrorMessage="1" sqref="B6:C6" xr:uid="{00000000-0002-0000-1000-000002000000}">
      <formula1>$U$5:$U$6</formula1>
    </dataValidation>
    <dataValidation type="list" allowBlank="1" showInputMessage="1" showErrorMessage="1" sqref="B5:C5" xr:uid="{00000000-0002-0000-1000-000003000000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0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0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0" t="s">
        <v>273</v>
      </c>
      <c r="C2" t="s">
        <v>260</v>
      </c>
      <c r="D2" s="13">
        <v>1.3</v>
      </c>
      <c r="E2" s="13">
        <v>50</v>
      </c>
      <c r="F2" s="13">
        <v>150</v>
      </c>
    </row>
    <row r="3" spans="1:6" x14ac:dyDescent="0.25">
      <c r="A3" s="28" t="s">
        <v>250</v>
      </c>
      <c r="B3" s="30" t="s">
        <v>274</v>
      </c>
      <c r="C3" s="28" t="s">
        <v>261</v>
      </c>
      <c r="D3" s="13">
        <v>1.2</v>
      </c>
      <c r="E3" s="13">
        <v>0</v>
      </c>
      <c r="F3" s="13">
        <v>180</v>
      </c>
    </row>
    <row r="4" spans="1:6" x14ac:dyDescent="0.25">
      <c r="A4" s="28" t="s">
        <v>251</v>
      </c>
      <c r="B4" s="30" t="s">
        <v>275</v>
      </c>
      <c r="C4" s="28" t="s">
        <v>262</v>
      </c>
      <c r="D4" s="13">
        <v>1.2</v>
      </c>
      <c r="E4" s="13">
        <v>60</v>
      </c>
      <c r="F4" s="13">
        <v>150</v>
      </c>
    </row>
    <row r="5" spans="1:6" x14ac:dyDescent="0.25">
      <c r="A5" s="28" t="s">
        <v>119</v>
      </c>
      <c r="B5" s="30" t="s">
        <v>276</v>
      </c>
      <c r="C5" s="28" t="s">
        <v>263</v>
      </c>
      <c r="D5" s="13">
        <v>0</v>
      </c>
      <c r="E5" s="13">
        <v>50</v>
      </c>
      <c r="F5" s="13">
        <v>120</v>
      </c>
    </row>
    <row r="6" spans="1:6" x14ac:dyDescent="0.25">
      <c r="A6" s="28" t="s">
        <v>252</v>
      </c>
      <c r="B6" s="30" t="s">
        <v>277</v>
      </c>
      <c r="C6" s="28" t="s">
        <v>264</v>
      </c>
      <c r="D6" s="13">
        <v>0</v>
      </c>
      <c r="E6" s="13">
        <v>70</v>
      </c>
      <c r="F6" s="13">
        <v>200</v>
      </c>
    </row>
    <row r="7" spans="1:6" x14ac:dyDescent="0.25">
      <c r="A7" s="28" t="s">
        <v>253</v>
      </c>
      <c r="B7" s="30" t="s">
        <v>278</v>
      </c>
      <c r="C7" s="28" t="s">
        <v>265</v>
      </c>
      <c r="D7" s="13">
        <v>0</v>
      </c>
      <c r="E7" s="13">
        <v>60</v>
      </c>
      <c r="F7" s="13">
        <v>150</v>
      </c>
    </row>
    <row r="8" spans="1:6" x14ac:dyDescent="0.25">
      <c r="A8" s="28" t="s">
        <v>254</v>
      </c>
      <c r="B8" s="30" t="s">
        <v>279</v>
      </c>
      <c r="C8" s="28" t="s">
        <v>266</v>
      </c>
      <c r="D8" s="13">
        <v>0</v>
      </c>
      <c r="E8" s="13">
        <v>0</v>
      </c>
      <c r="F8" s="13">
        <v>120</v>
      </c>
    </row>
    <row r="9" spans="1:6" x14ac:dyDescent="0.25">
      <c r="A9" s="28" t="s">
        <v>255</v>
      </c>
      <c r="B9" s="30" t="s">
        <v>287</v>
      </c>
      <c r="C9" s="28" t="s">
        <v>260</v>
      </c>
      <c r="D9" s="13">
        <v>1.2</v>
      </c>
      <c r="E9" s="13">
        <v>80</v>
      </c>
      <c r="F9" s="13">
        <v>160</v>
      </c>
    </row>
    <row r="10" spans="1:6" x14ac:dyDescent="0.25">
      <c r="A10" s="28" t="s">
        <v>255</v>
      </c>
      <c r="B10" s="30" t="s">
        <v>280</v>
      </c>
      <c r="C10" s="28" t="s">
        <v>260</v>
      </c>
      <c r="D10" s="13">
        <v>1.2</v>
      </c>
      <c r="E10" s="13">
        <v>70</v>
      </c>
      <c r="F10" s="13">
        <v>150</v>
      </c>
    </row>
    <row r="11" spans="1:6" x14ac:dyDescent="0.25">
      <c r="A11" s="28" t="s">
        <v>255</v>
      </c>
      <c r="B11" s="30" t="s">
        <v>281</v>
      </c>
      <c r="C11" s="28" t="s">
        <v>260</v>
      </c>
      <c r="D11" s="13">
        <v>1.25</v>
      </c>
      <c r="E11" s="13">
        <v>80</v>
      </c>
      <c r="F11" s="13">
        <v>160</v>
      </c>
    </row>
    <row r="12" spans="1:6" x14ac:dyDescent="0.25">
      <c r="A12" s="28" t="s">
        <v>256</v>
      </c>
      <c r="B12" s="30" t="s">
        <v>282</v>
      </c>
      <c r="C12" s="28" t="s">
        <v>267</v>
      </c>
      <c r="D12" s="13">
        <v>0</v>
      </c>
      <c r="E12" s="13">
        <v>70</v>
      </c>
      <c r="F12" s="13">
        <v>150</v>
      </c>
    </row>
    <row r="13" spans="1:6" x14ac:dyDescent="0.25">
      <c r="A13" s="28" t="s">
        <v>257</v>
      </c>
      <c r="B13" s="30" t="s">
        <v>283</v>
      </c>
      <c r="C13" s="28" t="s">
        <v>268</v>
      </c>
      <c r="D13" s="13">
        <v>1.5</v>
      </c>
      <c r="E13" s="13">
        <v>35</v>
      </c>
      <c r="F13" s="13">
        <v>0</v>
      </c>
    </row>
    <row r="14" spans="1:6" x14ac:dyDescent="0.25">
      <c r="A14" s="28" t="s">
        <v>255</v>
      </c>
      <c r="B14" s="30" t="s">
        <v>284</v>
      </c>
      <c r="C14" s="28" t="s">
        <v>260</v>
      </c>
      <c r="D14" s="13">
        <v>1.1000000000000001</v>
      </c>
      <c r="E14" s="13">
        <v>50</v>
      </c>
      <c r="F14" s="13">
        <v>120</v>
      </c>
    </row>
    <row r="15" spans="1:6" x14ac:dyDescent="0.25">
      <c r="A15" s="28" t="s">
        <v>258</v>
      </c>
      <c r="B15" s="30" t="s">
        <v>285</v>
      </c>
      <c r="C15" s="28" t="s">
        <v>269</v>
      </c>
      <c r="D15" s="13">
        <v>0</v>
      </c>
      <c r="E15" s="13">
        <v>0</v>
      </c>
      <c r="F15" s="13">
        <v>0</v>
      </c>
    </row>
    <row r="16" spans="1:6" x14ac:dyDescent="0.25">
      <c r="A16" s="28" t="s">
        <v>259</v>
      </c>
      <c r="B16" s="30" t="s">
        <v>286</v>
      </c>
      <c r="C16" s="28" t="s">
        <v>270</v>
      </c>
      <c r="D16" s="13">
        <v>0</v>
      </c>
      <c r="E16" s="13">
        <v>0</v>
      </c>
      <c r="F16" s="13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7"/>
  <dimension ref="A1:E25"/>
  <sheetViews>
    <sheetView workbookViewId="0">
      <selection activeCell="A26" sqref="A26"/>
    </sheetView>
  </sheetViews>
  <sheetFormatPr defaultRowHeight="15" x14ac:dyDescent="0.25"/>
  <cols>
    <col min="1" max="1" width="35.85546875" style="30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1" t="s">
        <v>89</v>
      </c>
      <c r="B1" s="27" t="s">
        <v>90</v>
      </c>
      <c r="C1" s="27" t="s">
        <v>91</v>
      </c>
      <c r="D1" s="27" t="s">
        <v>92</v>
      </c>
      <c r="E1" s="27" t="s">
        <v>68</v>
      </c>
    </row>
    <row r="2" spans="1:5" x14ac:dyDescent="0.25">
      <c r="A2" s="30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0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0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0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0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0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0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0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0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0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0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0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0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0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0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0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0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0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0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0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0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0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0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0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0"/>
  <dimension ref="A1:D7"/>
  <sheetViews>
    <sheetView workbookViewId="0">
      <selection activeCell="D4" sqref="D4"/>
    </sheetView>
  </sheetViews>
  <sheetFormatPr defaultRowHeight="15" x14ac:dyDescent="0.25"/>
  <cols>
    <col min="1" max="1" width="12.140625" customWidth="1"/>
    <col min="4" max="4" width="18.42578125" bestFit="1" customWidth="1"/>
  </cols>
  <sheetData>
    <row r="1" spans="1:4" x14ac:dyDescent="0.25">
      <c r="A1" t="s">
        <v>73</v>
      </c>
      <c r="D1" t="s">
        <v>324</v>
      </c>
    </row>
    <row r="2" spans="1:4" x14ac:dyDescent="0.25">
      <c r="A2" t="s">
        <v>81</v>
      </c>
      <c r="D2" t="s">
        <v>322</v>
      </c>
    </row>
    <row r="3" spans="1:4" x14ac:dyDescent="0.25">
      <c r="A3" t="s">
        <v>74</v>
      </c>
      <c r="D3" t="s">
        <v>323</v>
      </c>
    </row>
    <row r="4" spans="1:4" x14ac:dyDescent="0.25">
      <c r="A4" t="s">
        <v>76</v>
      </c>
    </row>
    <row r="5" spans="1:4" x14ac:dyDescent="0.25">
      <c r="A5" t="s">
        <v>77</v>
      </c>
    </row>
    <row r="6" spans="1:4" x14ac:dyDescent="0.25">
      <c r="A6" t="s">
        <v>78</v>
      </c>
    </row>
    <row r="7" spans="1:4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4"/>
  <dimension ref="A1:A16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"/>
  <dimension ref="A1:A27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23</vt:i4>
      </vt:variant>
    </vt:vector>
  </HeadingPairs>
  <TitlesOfParts>
    <vt:vector size="48" baseType="lpstr">
      <vt:lpstr>Inicial</vt:lpstr>
      <vt:lpstr>CadPericia</vt:lpstr>
      <vt:lpstr>CadPenhor</vt:lpstr>
      <vt:lpstr>Adiantamento</vt:lpstr>
      <vt:lpstr>Despesas</vt:lpstr>
      <vt:lpstr>ContasAreceber</vt:lpstr>
      <vt:lpstr>ContasApagar</vt:lpstr>
      <vt:lpstr>Vistoria</vt:lpstr>
      <vt:lpstr>DashResultado</vt:lpstr>
      <vt:lpstr>DashboardAReceber</vt:lpstr>
      <vt:lpstr>TbDinamicaReceber</vt:lpstr>
      <vt:lpstr>DashboardApagar</vt:lpstr>
      <vt:lpstr>TbDinamicaApagar</vt:lpstr>
      <vt:lpstr>TbDinamicaDespesas</vt:lpstr>
      <vt:lpstr>RelDespesas</vt:lpstr>
      <vt:lpstr>RelContasApagar</vt:lpstr>
      <vt:lpstr>RelContasAReceber</vt:lpstr>
      <vt:lpstr>CadSeguradora</vt:lpstr>
      <vt:lpstr>CadPerito</vt:lpstr>
      <vt:lpstr>Cultura</vt:lpstr>
      <vt:lpstr>Sinistro</vt:lpstr>
      <vt:lpstr>TipoBenSeg</vt:lpstr>
      <vt:lpstr>TipoVistoria</vt:lpstr>
      <vt:lpstr>Cidades</vt:lpstr>
      <vt:lpstr>Estados</vt:lpstr>
      <vt:lpstr>Adto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TbDinamicaReceber!Criterios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2021-05-31T13:56:08Z</dcterms:modified>
</cp:coreProperties>
</file>