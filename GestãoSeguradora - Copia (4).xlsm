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72F30A3C-B2EE-4C77-A7BA-6D85051121E4}" xr6:coauthVersionLast="46" xr6:coauthVersionMax="46" xr10:uidLastSave="{00000000-0000-0000-0000-000000000000}"/>
  <bookViews>
    <workbookView xWindow="-120" yWindow="-120" windowWidth="20730" windowHeight="11160" xr2:uid="{E0D4B125-8ABE-41E3-AD67-A9BA722874B8}"/>
  </bookViews>
  <sheets>
    <sheet name="Inicial" sheetId="2" r:id="rId1"/>
    <sheet name="Vistoria" sheetId="25" r:id="rId2"/>
    <sheet name="ContasApagar" sheetId="16" r:id="rId3"/>
    <sheet name="ContasAreceber" sheetId="17" r:id="rId4"/>
    <sheet name="CadPenhor" sheetId="5" r:id="rId5"/>
    <sheet name="CadPericia" sheetId="6" r:id="rId6"/>
    <sheet name="TbDinamicaApagar" sheetId="24" r:id="rId7"/>
    <sheet name="DashboardApagar" sheetId="21" r:id="rId8"/>
    <sheet name="RelContasApagar" sheetId="18" r:id="rId9"/>
    <sheet name="RelContasAReceber" sheetId="20" r:id="rId10"/>
    <sheet name="TbDinamicaReceber" sheetId="23" r:id="rId11"/>
    <sheet name="DashboardAReceber" sheetId="22" r:id="rId12"/>
    <sheet name="CadSeguradora" sheetId="1" r:id="rId13"/>
    <sheet name="CadPerito" sheetId="7" r:id="rId14"/>
    <sheet name="Cidades" sheetId="4" r:id="rId15"/>
    <sheet name="Cultura" sheetId="11" r:id="rId16"/>
    <sheet name="Sinistro" sheetId="10" r:id="rId17"/>
    <sheet name="TipoBenSeg" sheetId="8" r:id="rId18"/>
    <sheet name="TipoVistoria" sheetId="9" r:id="rId19"/>
    <sheet name="Estados" sheetId="3" r:id="rId20"/>
  </sheets>
  <definedNames>
    <definedName name="_xlnm._FilterDatabase" localSheetId="4" hidden="1">CadPenhor!$A$1:$AJ$4</definedName>
    <definedName name="_xlnm._FilterDatabase" localSheetId="5" hidden="1">CadPericia!$A$1:$AE$5</definedName>
    <definedName name="_xlnm._FilterDatabase" localSheetId="2" hidden="1">ContasApagar!$A$1:$R$7</definedName>
    <definedName name="_xlnm._FilterDatabase" localSheetId="3" hidden="1">ContasAreceber!$A$1:$R$7</definedName>
    <definedName name="_xlnm._FilterDatabase" localSheetId="8" hidden="1">RelContasApagar!$A$7:$R$7</definedName>
    <definedName name="_xlnm._FilterDatabase" localSheetId="9" hidden="1">RelContasAReceber!$A$7:$R$7</definedName>
    <definedName name="_xlnm.Extract" localSheetId="5">CadPericia!#REF!</definedName>
    <definedName name="_xlnm.Extract" localSheetId="0">Inicial!#REF!</definedName>
    <definedName name="_xlnm.Extract" localSheetId="8">RelContasApagar!$A$7:$R$7</definedName>
    <definedName name="_xlnm.Extract" localSheetId="9">RelContasAReceber!$A$7:$R$7</definedName>
    <definedName name="cidades">Cidades!$A:$A</definedName>
    <definedName name="_xlnm.Criteria" localSheetId="5">CadPericia!#REF!</definedName>
    <definedName name="_xlnm.Criteria" localSheetId="0">Inicial!$J$2:$N$3</definedName>
    <definedName name="_xlnm.Criteria" localSheetId="8">RelContasApagar!$V$2:$Y$3</definedName>
    <definedName name="_xlnm.Criteria" localSheetId="9">RelContasAReceber!$H$2:$K$3</definedName>
    <definedName name="_xlnm.Criteria" localSheetId="1">Vistoria!$F$2:$L$3</definedName>
    <definedName name="Cultura">Cultura!$A:$A</definedName>
    <definedName name="NativeTimeline_DT_LANCAMENTO">#N/A</definedName>
    <definedName name="NativeTimeline_DT_LANCAMENTO1">#N/A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181" r:id="rId21"/>
    <pivotCache cacheId="190" r:id="rId22"/>
    <pivotCache cacheId="364" r:id="rId23"/>
    <pivotCache cacheId="404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2"/>
        <x15:timelineCacheRef r:id="rId33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23" l="1"/>
  <c r="S5" i="23"/>
  <c r="S6" i="23"/>
  <c r="S7" i="23"/>
  <c r="S8" i="23"/>
  <c r="S9" i="23"/>
  <c r="S10" i="23"/>
  <c r="S11" i="23"/>
  <c r="S12" i="23"/>
  <c r="S13" i="23"/>
  <c r="S14" i="23"/>
  <c r="S15" i="23"/>
  <c r="S16" i="23"/>
  <c r="S17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S4" i="24"/>
  <c r="S5" i="24"/>
  <c r="S6" i="24"/>
  <c r="S7" i="24"/>
  <c r="S8" i="24"/>
  <c r="S9" i="24"/>
  <c r="S10" i="24"/>
  <c r="S11" i="24"/>
  <c r="S12" i="24"/>
  <c r="S13" i="24"/>
  <c r="S14" i="24"/>
  <c r="S15" i="24"/>
  <c r="S16" i="24"/>
  <c r="S17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X4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S3" i="23"/>
  <c r="AG3" i="23"/>
  <c r="AF3" i="23"/>
  <c r="AD3" i="23"/>
  <c r="AC3" i="23"/>
  <c r="AB3" i="23"/>
  <c r="AA3" i="23"/>
  <c r="AE3" i="23"/>
  <c r="AB3" i="24"/>
  <c r="AA3" i="24"/>
  <c r="U3" i="18"/>
  <c r="T3" i="18"/>
  <c r="V3" i="23" l="1"/>
  <c r="AG3" i="24"/>
  <c r="AF3" i="24"/>
  <c r="AE3" i="24"/>
  <c r="AD3" i="24"/>
  <c r="AC3" i="24"/>
  <c r="X3" i="24"/>
  <c r="V3" i="24"/>
  <c r="S3" i="24"/>
  <c r="V4" i="24"/>
  <c r="V4" i="23"/>
  <c r="K3" i="20"/>
  <c r="J3" i="20"/>
  <c r="I3" i="20"/>
  <c r="H3" i="20"/>
  <c r="G3" i="20"/>
  <c r="F3" i="20"/>
  <c r="W3" i="18"/>
  <c r="V3" i="18"/>
  <c r="Y3" i="18"/>
  <c r="X3" i="18"/>
</calcChain>
</file>

<file path=xl/sharedStrings.xml><?xml version="1.0" encoding="utf-8"?>
<sst xmlns="http://schemas.openxmlformats.org/spreadsheetml/2006/main" count="815" uniqueCount="332">
  <si>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</si>
  <si>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</si>
  <si>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</si>
  <si>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</si>
  <si>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</si>
  <si>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</si>
  <si>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</si>
  <si>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</si>
  <si>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</si>
  <si>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</si>
  <si>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</si>
  <si>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</si>
  <si>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</si>
  <si>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</si>
  <si>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</si>
  <si>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</si>
  <si>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</si>
  <si>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</si>
  <si>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</si>
  <si>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</si>
  <si>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</si>
  <si>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</si>
  <si>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</si>
  <si>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</si>
  <si>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</si>
  <si>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</si>
  <si>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</si>
  <si>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</si>
  <si>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</si>
  <si>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</si>
  <si>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</si>
  <si>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</si>
  <si>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</si>
  <si>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</si>
  <si>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</si>
  <si>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</si>
  <si>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</si>
  <si>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</si>
  <si>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</si>
  <si>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</si>
  <si>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</si>
  <si>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</si>
  <si>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</si>
  <si>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</si>
  <si>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</si>
  <si>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</si>
  <si>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</si>
  <si>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</si>
  <si>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</si>
  <si>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</si>
  <si>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</si>
  <si>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</si>
  <si>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PEDÁGIO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</si>
  <si>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</si>
  <si>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</si>
  <si>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</si>
  <si>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</si>
  <si>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</si>
  <si>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</si>
  <si>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</si>
  <si>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</si>
  <si>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</si>
  <si>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</si>
  <si>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</si>
  <si>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</si>
  <si>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</si>
  <si>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</si>
  <si>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</si>
  <si>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</si>
  <si>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</si>
  <si>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</si>
  <si>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</si>
  <si>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</si>
  <si>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</si>
  <si>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</si>
  <si>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</si>
  <si>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</si>
  <si>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</si>
  <si>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</si>
  <si>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</si>
  <si>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</si>
  <si>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</si>
  <si>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</si>
  <si>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</si>
  <si>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</si>
  <si>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</si>
  <si>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</si>
  <si>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</si>
  <si>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</si>
  <si>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</si>
  <si>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</si>
  <si>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</si>
  <si>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</si>
  <si>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</si>
  <si>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</si>
  <si>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</si>
  <si>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</si>
  <si>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</si>
  <si>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</si>
  <si>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</si>
  <si>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</si>
  <si>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</si>
  <si>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PASSAGEM ÁERA</t>
  </si>
  <si>
    <t>STATUS</t>
  </si>
  <si>
    <t>Aberto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</si>
  <si>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</si>
  <si>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</si>
  <si>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</si>
  <si>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</si>
  <si>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</si>
  <si>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</si>
  <si>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</si>
  <si>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</si>
  <si>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</si>
  <si>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</si>
  <si>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</si>
  <si>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</si>
  <si>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</si>
  <si>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</si>
  <si>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</si>
  <si>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</si>
  <si>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</si>
  <si>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</si>
  <si>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</si>
  <si>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</si>
  <si>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</si>
  <si>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</si>
  <si>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</si>
  <si>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Valores Seguradora</t>
  </si>
  <si>
    <t>Valores Penho e pericia</t>
  </si>
  <si>
    <t>Honorários</t>
  </si>
  <si>
    <t>KM</t>
  </si>
  <si>
    <t>Hotel</t>
  </si>
  <si>
    <t>Refeição</t>
  </si>
  <si>
    <t>Perito</t>
  </si>
  <si>
    <t>Pedágio</t>
  </si>
  <si>
    <t>Passagem</t>
  </si>
  <si>
    <t>Aluguel Carro</t>
  </si>
  <si>
    <t>Outros</t>
  </si>
  <si>
    <t>28.196.889/0001-43</t>
  </si>
  <si>
    <t>26.609.195/0001-65</t>
  </si>
  <si>
    <t>KM R$ EMPR2</t>
  </si>
  <si>
    <t>Jose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</si>
  <si>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</si>
  <si>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</si>
  <si>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</si>
  <si>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</si>
  <si>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</si>
  <si>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</si>
  <si>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</si>
  <si>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</si>
  <si>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</si>
  <si>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</si>
  <si>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</si>
  <si>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</si>
  <si>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</si>
  <si>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</si>
  <si>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</si>
  <si>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</si>
  <si>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</si>
  <si>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</si>
  <si>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</si>
  <si>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</si>
  <si>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</si>
  <si>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</si>
  <si>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</si>
  <si>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</si>
  <si>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</si>
  <si>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</si>
  <si>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</si>
  <si>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</si>
  <si>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</si>
  <si>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</si>
  <si>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</si>
  <si>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</si>
  <si>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</si>
  <si>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</si>
  <si>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</si>
  <si>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</si>
  <si>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</si>
  <si>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</si>
  <si>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</si>
  <si>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</si>
  <si>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</si>
  <si>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</si>
  <si>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</si>
  <si>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</si>
  <si>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</si>
  <si>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</si>
  <si>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</si>
  <si>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</si>
  <si>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</si>
  <si>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</si>
  <si>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</si>
  <si>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</si>
  <si>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</si>
  <si>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</si>
  <si>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</si>
  <si>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</si>
  <si>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</si>
  <si>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</si>
  <si>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</si>
  <si>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</si>
  <si>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</si>
  <si>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</si>
  <si>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</si>
  <si>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</si>
  <si>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</si>
  <si>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</si>
  <si>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</si>
  <si>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</si>
  <si>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</si>
  <si>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</si>
  <si>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</si>
  <si>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</si>
  <si>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</si>
  <si>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</si>
  <si>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</si>
  <si>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</si>
  <si>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</si>
  <si>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</si>
  <si>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</si>
  <si>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</si>
  <si>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</si>
  <si>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</si>
  <si>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</si>
  <si>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</si>
  <si>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</si>
  <si>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</si>
  <si>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</si>
  <si>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</si>
  <si>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</si>
  <si>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</si>
  <si>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</si>
  <si>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</si>
  <si>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</si>
  <si>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</si>
  <si>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</si>
  <si>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</si>
  <si>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</si>
  <si>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</si>
  <si>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</si>
  <si>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</si>
  <si>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</si>
  <si>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</si>
  <si>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</si>
  <si>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</si>
  <si>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</si>
  <si>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</si>
  <si>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</si>
  <si>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</si>
  <si>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</si>
  <si>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</si>
  <si>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</si>
  <si>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</si>
  <si>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</si>
  <si>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</si>
  <si>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</si>
  <si>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</si>
  <si>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</si>
  <si>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</si>
  <si>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</si>
  <si>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</si>
  <si>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</si>
  <si>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</si>
  <si>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</si>
  <si>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</si>
  <si>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</si>
  <si>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</si>
  <si>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</si>
  <si>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</si>
  <si>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</si>
  <si>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</si>
  <si>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</si>
  <si>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</si>
  <si>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</si>
  <si>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</si>
  <si>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</si>
  <si>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</si>
  <si>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</si>
  <si>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</si>
  <si>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</si>
  <si>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</si>
  <si>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</si>
  <si>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</si>
  <si>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</si>
  <si>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</si>
  <si>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</si>
  <si>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</si>
  <si>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</si>
  <si>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</si>
  <si>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</si>
  <si>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</si>
  <si>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NEWE                                                                  (AGRÍCOLA)</t>
  </si>
  <si>
    <t>TESTE</t>
  </si>
  <si>
    <t>23/02/2021</t>
  </si>
  <si>
    <t>20/02/2021</t>
  </si>
  <si>
    <t>SILVIO</t>
  </si>
  <si>
    <t>ROUBO</t>
  </si>
  <si>
    <t>10,00</t>
  </si>
  <si>
    <t>HONORARIO EMPRESA</t>
  </si>
  <si>
    <t>TOTAL EMPRESA</t>
  </si>
  <si>
    <t>26/02/2021</t>
  </si>
  <si>
    <t>25/02/2021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</si>
  <si>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</si>
  <si>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</si>
  <si>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</si>
  <si>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</si>
  <si>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</si>
  <si>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</si>
  <si>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</si>
  <si>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</si>
  <si>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</si>
  <si>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</si>
  <si>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</si>
  <si>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</si>
  <si>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</si>
  <si>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</si>
  <si>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>treste</t>
  </si>
  <si>
    <t>28/02/2021</t>
  </si>
  <si>
    <t>Marilda</t>
  </si>
  <si>
    <t>27/02/2021</t>
  </si>
  <si>
    <t>teste</t>
  </si>
  <si>
    <t xml:space="preserve">AGROBRASIL - (SP)                    </t>
  </si>
  <si>
    <t>Gilberto</t>
  </si>
  <si>
    <t>Paulo</t>
  </si>
  <si>
    <t>Augusto santos</t>
  </si>
  <si>
    <t>Roubo</t>
  </si>
  <si>
    <t>Jonas</t>
  </si>
  <si>
    <t>Incendio</t>
  </si>
  <si>
    <t>52,00</t>
  </si>
  <si>
    <t>12,00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</si>
</sst>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9">
    <xf numFmtId="0" fontId="0" fillId="0" borderId="0" xfId="0"/>
    <xf numFmtId="14" fontId="0" fillId="0" borderId="0" xfId="0" applyNumberFormat="1"/>
    <xf numFmtId="0" fontId="2" fillId="0" borderId="0" xfId="0" applyFont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7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4" borderId="6" xfId="0" applyFont="1" applyFill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9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0" fontId="0" fillId="0" borderId="0" xfId="0" applyNumberFormat="1"/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0" fontId="8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6" xfId="0" applyNumberFormat="1" applyFont="1" applyFill="1" applyBorder="1"/>
    <xf numFmtId="49" fontId="0" fillId="0" borderId="6" xfId="0" applyNumberFormat="1" applyFont="1" applyBorder="1"/>
    <xf numFmtId="49" fontId="0" fillId="4" borderId="7" xfId="0" applyNumberFormat="1" applyFont="1" applyFill="1" applyBorder="1"/>
    <xf numFmtId="49" fontId="0" fillId="0" borderId="7" xfId="0" applyNumberFormat="1" applyFont="1" applyBorder="1"/>
    <xf numFmtId="14" fontId="0" fillId="0" borderId="0" xfId="0" applyNumberFormat="1" applyBorder="1"/>
    <xf numFmtId="2" fontId="0" fillId="0" borderId="0" xfId="0" applyNumberFormat="1" applyBorder="1"/>
    <xf numFmtId="44" fontId="0" fillId="0" borderId="0" xfId="1" applyFont="1" applyBorder="1"/>
    <xf numFmtId="14" fontId="0" fillId="0" borderId="0" xfId="1" applyNumberFormat="1" applyFont="1" applyBorder="1"/>
    <xf numFmtId="14" fontId="0" fillId="0" borderId="0" xfId="0" applyNumberFormat="1" applyBorder="1" applyAlignment="1">
      <alignment horizontal="right"/>
    </xf>
    <xf numFmtId="7" fontId="0" fillId="0" borderId="0" xfId="1" applyNumberFormat="1" applyFont="1" applyBorder="1"/>
    <xf numFmtId="7" fontId="0" fillId="0" borderId="0" xfId="0" applyNumberFormat="1" applyBorder="1"/>
    <xf numFmtId="7" fontId="0" fillId="4" borderId="9" xfId="1" applyNumberFormat="1" applyFont="1" applyFill="1" applyBorder="1"/>
  </cellXfs>
  <cellStyles count="3">
    <cellStyle name="Moeda" xfId="1" builtinId="4"/>
    <cellStyle name="Moeda 2" xfId="2" xr:uid="{A6118882-E3ED-4E75-BED1-0DF76B4E8424}"/>
    <cellStyle name="Normal" xfId="0" builtinId="0"/>
  </cellStyles>
  <dxfs count="72">
    <dxf>
      <numFmt numFmtId="30" formatCode="@"/>
    </dxf>
    <dxf>
      <numFmt numFmtId="30" formatCode="@"/>
    </dxf>
    <dxf>
      <numFmt numFmtId="30" formatCode="@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microsoft.com/office/2011/relationships/timelineCache" Target="timelineCaches/timelineCache2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11/relationships/timelineCache" Target="timelineCaches/timelineCach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 a pagar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FA-423D-B105-E82E028BE5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FA-423D-B105-E82E028BE5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FA-423D-B105-E82E028BE55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9FA-423D-B105-E82E028BE55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9FA-423D-B105-E82E028BE55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9FA-423D-B105-E82E028BE55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9FA-423D-B105-E82E028BE55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9FA-423D-B105-E82E028BE55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9FA-423D-B105-E82E028BE55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9FA-423D-B105-E82E028BE55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9FA-423D-B105-E82E028BE55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9FA-423D-B105-E82E028BE55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9FA-423D-B105-E82E028BE55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9FA-423D-B105-E82E028BE55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9FA-423D-B105-E82E028BE55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9FA-423D-B105-E82E028BE55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9FA-423D-B105-E82E028BE55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9FA-423D-B105-E82E028BE55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9FA-423D-B105-E82E028BE55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9FA-423D-B105-E82E028BE55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9FA-423D-B105-E82E028BE55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9FA-423D-B105-E82E028BE55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9FA-423D-B105-E82E028BE55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9FA-423D-B105-E82E028BE5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TbDinamicaApagar!$W$3:$W$26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TbDinamicaApagar!$X$3:$X$26</c:f>
              <c:numCache>
                <c:formatCode>_("R$"* #,##0.00_);_("R$"* \(#,##0.00\);_("R$"* "-"??_);_(@_)</c:formatCode>
                <c:ptCount val="24"/>
                <c:pt idx="0">
                  <c:v>151</c:v>
                </c:pt>
                <c:pt idx="1">
                  <c:v>150</c:v>
                </c:pt>
                <c:pt idx="2">
                  <c:v>299</c:v>
                </c:pt>
                <c:pt idx="3">
                  <c:v>0</c:v>
                </c:pt>
                <c:pt idx="4">
                  <c:v>170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9FA-423D-B105-E82E028BE5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 acessórias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TbDinamicaApagar!$AA$2</c:f>
              <c:strCache>
                <c:ptCount val="1"/>
                <c:pt idx="0">
                  <c:v>KM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TbDinamicaApagar!$Z$3:$Z$26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TbDinamicaApagar!$AA$3:$AA$26</c:f>
              <c:numCache>
                <c:formatCode>_("R$"* #,##0.00_);_("R$"* \(#,##0.00\);_("R$"* "-"??_);_(@_)</c:formatCode>
                <c:ptCount val="24"/>
                <c:pt idx="0">
                  <c:v>13</c:v>
                </c:pt>
                <c:pt idx="1">
                  <c:v>1</c:v>
                </c:pt>
                <c:pt idx="2">
                  <c:v>195</c:v>
                </c:pt>
                <c:pt idx="3">
                  <c:v>0</c:v>
                </c:pt>
                <c:pt idx="4">
                  <c:v>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0-40EC-96C8-D7F158C08479}"/>
            </c:ext>
          </c:extLst>
        </c:ser>
        <c:ser>
          <c:idx val="1"/>
          <c:order val="1"/>
          <c:tx>
            <c:strRef>
              <c:f>TbDinamicaApagar!$AB$2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TbDinamicaApagar!$Z$3:$Z$26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TbDinamicaApagar!$AB$3:$AB$26</c:f>
              <c:numCache>
                <c:formatCode>_("R$"* #,##0.00_);_("R$"* \(#,##0.00\);_("R$"* "-"??_);_(@_)</c:formatCode>
                <c:ptCount val="24"/>
                <c:pt idx="0">
                  <c:v>10</c:v>
                </c:pt>
                <c:pt idx="1">
                  <c:v>1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B0-40EC-96C8-D7F158C08479}"/>
            </c:ext>
          </c:extLst>
        </c:ser>
        <c:ser>
          <c:idx val="2"/>
          <c:order val="2"/>
          <c:tx>
            <c:strRef>
              <c:f>TbDinamicaApagar!$AC$2</c:f>
              <c:strCache>
                <c:ptCount val="1"/>
                <c:pt idx="0">
                  <c:v>Refeição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TbDinamicaApagar!$Z$3:$Z$26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TbDinamicaApagar!$AC$3:$AC$26</c:f>
              <c:numCache>
                <c:formatCode>_("R$"* #,##0.00_);_("R$"* \(#,##0.00\);_("R$"* "-"??_);_(@_)</c:formatCode>
                <c:ptCount val="24"/>
                <c:pt idx="0">
                  <c:v>10</c:v>
                </c:pt>
                <c:pt idx="1">
                  <c:v>1</c:v>
                </c:pt>
                <c:pt idx="2">
                  <c:v>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B0-40EC-96C8-D7F158C08479}"/>
            </c:ext>
          </c:extLst>
        </c:ser>
        <c:ser>
          <c:idx val="3"/>
          <c:order val="3"/>
          <c:tx>
            <c:strRef>
              <c:f>TbDinamicaApagar!$AD$2</c:f>
              <c:strCache>
                <c:ptCount val="1"/>
                <c:pt idx="0">
                  <c:v>Pedágio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TbDinamicaApagar!$Z$3:$Z$26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TbDinamicaApagar!$AD$3:$AD$26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B0-40EC-96C8-D7F158C08479}"/>
            </c:ext>
          </c:extLst>
        </c:ser>
        <c:ser>
          <c:idx val="4"/>
          <c:order val="4"/>
          <c:tx>
            <c:strRef>
              <c:f>TbDinamicaApagar!$AE$2</c:f>
              <c:strCache>
                <c:ptCount val="1"/>
                <c:pt idx="0">
                  <c:v>Passagem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TbDinamicaApagar!$Z$3:$Z$26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TbDinamicaApagar!$AE$3:$AE$26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B0-40EC-96C8-D7F158C08479}"/>
            </c:ext>
          </c:extLst>
        </c:ser>
        <c:ser>
          <c:idx val="5"/>
          <c:order val="5"/>
          <c:tx>
            <c:strRef>
              <c:f>TbDinamicaApagar!$AF$2</c:f>
              <c:strCache>
                <c:ptCount val="1"/>
                <c:pt idx="0">
                  <c:v>Aluguel Carro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TbDinamicaApagar!$Z$3:$Z$26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TbDinamicaApagar!$AF$3:$AF$26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B0-40EC-96C8-D7F158C08479}"/>
            </c:ext>
          </c:extLst>
        </c:ser>
        <c:ser>
          <c:idx val="6"/>
          <c:order val="6"/>
          <c:tx>
            <c:strRef>
              <c:f>TbDinamicaApagar!$AG$2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10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0-40EC-96C8-D7F158C08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8593968"/>
        <c:axId val="788592984"/>
      </c:barChart>
      <c:catAx>
        <c:axId val="78859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8592984"/>
        <c:crosses val="autoZero"/>
        <c:auto val="1"/>
        <c:lblAlgn val="ctr"/>
        <c:lblOffset val="100"/>
        <c:noMultiLvlLbl val="0"/>
      </c:catAx>
      <c:valAx>
        <c:axId val="78859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859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À Receber</a:t>
            </a:r>
            <a:r>
              <a:rPr lang="pt-BR" baseline="0"/>
              <a:t> honorários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0E-4FE5-A910-145778B8EC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0E-4FE5-A910-145778B8EC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0E-4FE5-A910-145778B8EC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0E-4FE5-A910-145778B8EC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0E-4FE5-A910-145778B8EC4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0E-4FE5-A910-145778B8EC4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0E-4FE5-A910-145778B8EC4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0E-4FE5-A910-145778B8EC4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0E-4FE5-A910-145778B8EC4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0E-4FE5-A910-145778B8EC4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10E-4FE5-A910-145778B8EC4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10E-4FE5-A910-145778B8EC4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10E-4FE5-A910-145778B8EC4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10E-4FE5-A910-145778B8EC4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10E-4FE5-A910-145778B8EC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TbDinamicaReceber!$R$3:$R$17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TbDinamicaReceber!$S$3:$S$17</c:f>
              <c:numCache>
                <c:formatCode>_("R$"* #,##0.00_);_("R$"* \(#,##0.00\);_("R$"* "-"??_);_(@_)</c:formatCode>
                <c:ptCount val="15"/>
                <c:pt idx="0">
                  <c:v>659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10E-4FE5-A910-145778B8EC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À</a:t>
            </a:r>
            <a:r>
              <a:rPr lang="pt-BR" baseline="0"/>
              <a:t> Receber despesas acessórias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TbDinamicaReceber!$Z$3:$Z$26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TbDinamicaReceber!$AA$3:$AA$26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9-44A3-97ED-FD192CEA34E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TbDinamicaReceber!$Z$3:$Z$26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TbDinamicaReceber!$AB$3:$AB$26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F9-44A3-97ED-FD192CEA34E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TbDinamicaReceber!$Z$3:$Z$26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TbDinamicaReceber!$AC$3:$AC$26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F9-44A3-97ED-FD192CEA34E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TbDinamicaReceber!$Z$3:$Z$26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TbDinamicaReceber!$AD$3:$AD$26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F9-44A3-97ED-FD192CEA34E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TbDinamicaReceber!$Z$3:$Z$26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TbDinamicaReceber!$AE$3:$AE$26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F9-44A3-97ED-FD192CEA34E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TbDinamicaReceber!$Z$3:$Z$26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TbDinamicaReceber!$AF$3:$AF$26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F9-44A3-97ED-FD192CEA34E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TbDinamicaReceber!$Z$3:$Z$26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TbDinamicaReceber!$AG$3:$AG$26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F9-44A3-97ED-FD192CEA3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7532336"/>
        <c:axId val="840442280"/>
      </c:barChart>
      <c:catAx>
        <c:axId val="78753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0442280"/>
        <c:crosses val="autoZero"/>
        <c:auto val="1"/>
        <c:lblAlgn val="ctr"/>
        <c:lblOffset val="100"/>
        <c:noMultiLvlLbl val="0"/>
      </c:catAx>
      <c:valAx>
        <c:axId val="84044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753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133350</xdr:colOff>
      <xdr:row>0</xdr:row>
      <xdr:rowOff>38100</xdr:rowOff>
    </xdr:from>
    <xdr:to>
      <xdr:col>20</xdr:col>
      <xdr:colOff>476250</xdr:colOff>
      <xdr:row>23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78025E3-6F35-4778-9E12-7549D5FDD3C6}"/>
            </a:ext>
          </a:extLst>
        </xdr:cNvPr>
        <xdr:cNvGrpSpPr/>
      </xdr:nvGrpSpPr>
      <xdr:grpSpPr>
        <a:xfrm>
          <a:off x="133350" y="38100"/>
          <a:ext cx="12534900" cy="4343400"/>
          <a:chOff x="133350" y="38100"/>
          <a:chExt cx="12534900" cy="43434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F00405F-2860-4D61-B784-1B6B57B0D83E}"/>
              </a:ext>
            </a:extLst>
          </xdr:cNvPr>
          <xdr:cNvSpPr/>
        </xdr:nvSpPr>
        <xdr:spPr>
          <a:xfrm>
            <a:off x="152401" y="723900"/>
            <a:ext cx="12515849" cy="3657600"/>
          </a:xfrm>
          <a:prstGeom prst="roundRect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0465823-87AB-4C24-B968-74F720E07412}"/>
              </a:ext>
            </a:extLst>
          </xdr:cNvPr>
          <xdr:cNvSpPr/>
        </xdr:nvSpPr>
        <xdr:spPr>
          <a:xfrm>
            <a:off x="133350" y="38100"/>
            <a:ext cx="12487275" cy="657225"/>
          </a:xfrm>
          <a:prstGeom prst="rect">
            <a:avLst/>
          </a:prstGeom>
          <a:solidFill>
            <a:srgbClr val="33996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CD2A8DF9-B7FD-4CDE-829F-8E739C5D391E}"/>
              </a:ext>
            </a:extLst>
          </xdr:cNvPr>
          <xdr:cNvGrpSpPr/>
        </xdr:nvGrpSpPr>
        <xdr:grpSpPr>
          <a:xfrm>
            <a:off x="590550" y="876300"/>
            <a:ext cx="2657475" cy="3448051"/>
            <a:chOff x="971550" y="847725"/>
            <a:chExt cx="2657475" cy="3448051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A69B5BFD-789B-46EB-9B1E-C0300D6B4B47}"/>
                </a:ext>
              </a:extLst>
            </xdr:cNvPr>
            <xdr:cNvSpPr/>
          </xdr:nvSpPr>
          <xdr:spPr>
            <a:xfrm>
              <a:off x="97155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Cadastros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26" name="Agrupar 25">
              <a:extLst>
                <a:ext uri="{FF2B5EF4-FFF2-40B4-BE49-F238E27FC236}">
                  <a16:creationId xmlns:a16="http://schemas.microsoft.com/office/drawing/2014/main" id="{455CF792-FB14-4BCE-B22D-0E562E845DEC}"/>
                </a:ext>
              </a:extLst>
            </xdr:cNvPr>
            <xdr:cNvGrpSpPr/>
          </xdr:nvGrpSpPr>
          <xdr:grpSpPr>
            <a:xfrm>
              <a:off x="981074" y="1390650"/>
              <a:ext cx="2574000" cy="647700"/>
              <a:chOff x="314325" y="1171575"/>
              <a:chExt cx="2571751" cy="647700"/>
            </a:xfrm>
          </xdr:grpSpPr>
          <xdr:sp macro="[0]!ChamarCadPericia" textlink="">
            <xdr:nvSpPr>
              <xdr:cNvPr id="27" name="Retângulo: Cantos Arredondados 26">
                <a:extLst>
                  <a:ext uri="{FF2B5EF4-FFF2-40B4-BE49-F238E27FC236}">
                    <a16:creationId xmlns:a16="http://schemas.microsoft.com/office/drawing/2014/main" id="{4F2D0FDD-35CE-4922-9C64-137429E8B9B1}"/>
                  </a:ext>
                </a:extLst>
              </xdr:cNvPr>
              <xdr:cNvSpPr/>
            </xdr:nvSpPr>
            <xdr:spPr>
              <a:xfrm>
                <a:off x="352426" y="11715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       Cadastro</a:t>
                </a:r>
                <a:r>
                  <a:rPr lang="pt-BR" sz="1200" b="1" baseline="0"/>
                  <a:t> de Pericias Agrícolas</a:t>
                </a:r>
                <a:endParaRPr lang="pt-BR" sz="1200" b="1"/>
              </a:p>
            </xdr:txBody>
          </xdr:sp>
          <xdr:pic>
            <xdr:nvPicPr>
              <xdr:cNvPr id="28" name="Imagem 27">
                <a:extLst>
                  <a:ext uri="{FF2B5EF4-FFF2-40B4-BE49-F238E27FC236}">
                    <a16:creationId xmlns:a16="http://schemas.microsoft.com/office/drawing/2014/main" id="{F5A805E8-0646-4677-A86F-3590C95475C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14325" y="12001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ADBE0DA9-3110-4A58-92E8-6216EABD1714}"/>
                </a:ext>
              </a:extLst>
            </xdr:cNvPr>
            <xdr:cNvGrpSpPr/>
          </xdr:nvGrpSpPr>
          <xdr:grpSpPr>
            <a:xfrm>
              <a:off x="971550" y="2781300"/>
              <a:ext cx="2612099" cy="647700"/>
              <a:chOff x="285750" y="2562225"/>
              <a:chExt cx="2612099" cy="647700"/>
            </a:xfrm>
          </xdr:grpSpPr>
          <xdr:sp macro="[0]!ChamarCadSeguradora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441E12AC-E5B5-449D-AC54-B32148DF1F12}"/>
                  </a:ext>
                </a:extLst>
              </xdr:cNvPr>
              <xdr:cNvSpPr/>
            </xdr:nvSpPr>
            <xdr:spPr>
              <a:xfrm>
                <a:off x="323849" y="2562225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Cadastro de seguradora</a:t>
                </a:r>
              </a:p>
            </xdr:txBody>
          </xdr:sp>
          <xdr:pic>
            <xdr:nvPicPr>
              <xdr:cNvPr id="31" name="Imagem 30">
                <a:extLst>
                  <a:ext uri="{FF2B5EF4-FFF2-40B4-BE49-F238E27FC236}">
                    <a16:creationId xmlns:a16="http://schemas.microsoft.com/office/drawing/2014/main" id="{7C3DBEE1-E39D-4A7E-9161-020FC5A8C6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85750" y="2600325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A4953D31-624A-4BD3-8EB8-12D36062ED64}"/>
                </a:ext>
              </a:extLst>
            </xdr:cNvPr>
            <xdr:cNvGrpSpPr/>
          </xdr:nvGrpSpPr>
          <xdr:grpSpPr>
            <a:xfrm>
              <a:off x="971551" y="2085975"/>
              <a:ext cx="2612100" cy="666750"/>
              <a:chOff x="295276" y="1866900"/>
              <a:chExt cx="2612100" cy="666750"/>
            </a:xfrm>
          </xdr:grpSpPr>
          <xdr:sp macro="[0]!ChamarCadPenhor" textlink="">
            <xdr:nvSpPr>
              <xdr:cNvPr id="33" name="Retângulo: Cantos Arredondados 32">
                <a:extLst>
                  <a:ext uri="{FF2B5EF4-FFF2-40B4-BE49-F238E27FC236}">
                    <a16:creationId xmlns:a16="http://schemas.microsoft.com/office/drawing/2014/main" id="{BCBC5217-8031-4DA6-AC26-76D5311E1B72}"/>
                  </a:ext>
                </a:extLst>
              </xdr:cNvPr>
              <xdr:cNvSpPr/>
            </xdr:nvSpPr>
            <xdr:spPr>
              <a:xfrm>
                <a:off x="333376" y="18669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Cadastro</a:t>
                </a:r>
                <a:r>
                  <a:rPr lang="pt-BR" sz="1200" b="1" baseline="0"/>
                  <a:t> de Penhor Rural</a:t>
                </a:r>
                <a:endParaRPr lang="pt-BR" sz="1200" b="1"/>
              </a:p>
            </xdr:txBody>
          </xdr:sp>
          <xdr:pic>
            <xdr:nvPicPr>
              <xdr:cNvPr id="34" name="Imagem 33">
                <a:extLst>
                  <a:ext uri="{FF2B5EF4-FFF2-40B4-BE49-F238E27FC236}">
                    <a16:creationId xmlns:a16="http://schemas.microsoft.com/office/drawing/2014/main" id="{BB61155D-9E13-4D62-BCE6-9878B20D35F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6" y="19240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4948D8E6-7798-4936-9AB8-0D35D5A68B06}"/>
                </a:ext>
              </a:extLst>
            </xdr:cNvPr>
            <xdr:cNvGrpSpPr/>
          </xdr:nvGrpSpPr>
          <xdr:grpSpPr>
            <a:xfrm>
              <a:off x="1009649" y="3476625"/>
              <a:ext cx="2574000" cy="647700"/>
              <a:chOff x="295275" y="3257550"/>
              <a:chExt cx="2552701" cy="647700"/>
            </a:xfrm>
          </xdr:grpSpPr>
          <xdr:sp macro="[0]!ChamarCadPerito" textlink="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3A8EC8ED-00ED-44E9-9A79-A200629BF9E4}"/>
                  </a:ext>
                </a:extLst>
              </xdr:cNvPr>
              <xdr:cNvSpPr/>
            </xdr:nvSpPr>
            <xdr:spPr>
              <a:xfrm>
                <a:off x="314326" y="3257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l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Cadastro de Peritos</a:t>
                </a:r>
              </a:p>
            </xdr:txBody>
          </xdr:sp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F37B41FE-69F7-4CCB-85BA-D7E1742EF87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5" y="3267075"/>
                <a:ext cx="609600" cy="609600"/>
              </a:xfrm>
              <a:prstGeom prst="rect">
                <a:avLst/>
              </a:prstGeom>
            </xdr:spPr>
          </xdr:pic>
        </xdr:grpSp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FDB97FA5-742E-4389-B941-70D7A8A4BD28}"/>
              </a:ext>
            </a:extLst>
          </xdr:cNvPr>
          <xdr:cNvGrpSpPr/>
        </xdr:nvGrpSpPr>
        <xdr:grpSpPr>
          <a:xfrm>
            <a:off x="6210300" y="885825"/>
            <a:ext cx="2657475" cy="3448051"/>
            <a:chOff x="6400800" y="866775"/>
            <a:chExt cx="2657475" cy="3448051"/>
          </a:xfrm>
        </xdr:grpSpPr>
        <xdr:sp macro="" textlink="">
          <xdr:nvSpPr>
            <xdr:cNvPr id="43" name="Retângulo: Cantos Arredondados 42">
              <a:extLst>
                <a:ext uri="{FF2B5EF4-FFF2-40B4-BE49-F238E27FC236}">
                  <a16:creationId xmlns:a16="http://schemas.microsoft.com/office/drawing/2014/main" id="{745A439A-B079-4BEE-896F-68EFF529C7D6}"/>
                </a:ext>
              </a:extLst>
            </xdr:cNvPr>
            <xdr:cNvSpPr/>
          </xdr:nvSpPr>
          <xdr:spPr>
            <a:xfrm>
              <a:off x="6400800" y="86677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Relatórios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DE517487-781E-4225-A04B-F9CBFC7983B2}"/>
                </a:ext>
              </a:extLst>
            </xdr:cNvPr>
            <xdr:cNvGrpSpPr/>
          </xdr:nvGrpSpPr>
          <xdr:grpSpPr>
            <a:xfrm>
              <a:off x="6429375" y="1400175"/>
              <a:ext cx="2543175" cy="647700"/>
              <a:chOff x="6429375" y="1400175"/>
              <a:chExt cx="2543175" cy="647700"/>
            </a:xfrm>
          </xdr:grpSpPr>
          <xdr:sp macro="[0]!ChamaRelContasApagar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32948D41-5C56-4455-A45E-627DEB007598}"/>
                  </a:ext>
                </a:extLst>
              </xdr:cNvPr>
              <xdr:cNvSpPr/>
            </xdr:nvSpPr>
            <xdr:spPr>
              <a:xfrm>
                <a:off x="6438900" y="14001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81" name="Imagem 80">
                <a:extLst>
                  <a:ext uri="{FF2B5EF4-FFF2-40B4-BE49-F238E27FC236}">
                    <a16:creationId xmlns:a16="http://schemas.microsoft.com/office/drawing/2014/main" id="{8D77609E-1345-4E71-8C6B-EC11440B404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429375" y="1447799"/>
                <a:ext cx="581025" cy="581025"/>
              </a:xfrm>
              <a:prstGeom prst="rect">
                <a:avLst/>
              </a:prstGeom>
            </xdr:spPr>
          </xdr:pic>
        </xdr:grpSp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9AA917B7-D837-4FDD-8717-53C012E1F8A7}"/>
                </a:ext>
              </a:extLst>
            </xdr:cNvPr>
            <xdr:cNvGrpSpPr/>
          </xdr:nvGrpSpPr>
          <xdr:grpSpPr>
            <a:xfrm>
              <a:off x="6448425" y="2095500"/>
              <a:ext cx="2533650" cy="647700"/>
              <a:chOff x="6467475" y="3495675"/>
              <a:chExt cx="2533650" cy="647700"/>
            </a:xfrm>
          </xdr:grpSpPr>
          <xdr:sp macro="[0]!ChamarContarReceber" textlink="">
            <xdr:nvSpPr>
              <xdr:cNvPr id="79" name="Retângulo: Cantos Arredondados 78">
                <a:extLst>
                  <a:ext uri="{FF2B5EF4-FFF2-40B4-BE49-F238E27FC236}">
                    <a16:creationId xmlns:a16="http://schemas.microsoft.com/office/drawing/2014/main" id="{F90C1E6F-558C-41C1-BC0F-180EEF6C27F8}"/>
                  </a:ext>
                </a:extLst>
              </xdr:cNvPr>
              <xdr:cNvSpPr/>
            </xdr:nvSpPr>
            <xdr:spPr>
              <a:xfrm>
                <a:off x="6467475" y="34956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</a:t>
                </a:r>
              </a:p>
            </xdr:txBody>
          </xdr:sp>
          <xdr:pic>
            <xdr:nvPicPr>
              <xdr:cNvPr id="83" name="Imagem 82">
                <a:extLst>
                  <a:ext uri="{FF2B5EF4-FFF2-40B4-BE49-F238E27FC236}">
                    <a16:creationId xmlns:a16="http://schemas.microsoft.com/office/drawing/2014/main" id="{BE5C761B-4CDD-45D7-916F-39EC01D28C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72250" y="3495675"/>
                <a:ext cx="628650" cy="628650"/>
              </a:xfrm>
              <a:prstGeom prst="rect">
                <a:avLst/>
              </a:prstGeom>
            </xdr:spPr>
          </xdr:pic>
        </xdr:grp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626E6AF0-6CC3-4475-B40D-EC6EB9C6CD1B}"/>
              </a:ext>
            </a:extLst>
          </xdr:cNvPr>
          <xdr:cNvGrpSpPr/>
        </xdr:nvGrpSpPr>
        <xdr:grpSpPr>
          <a:xfrm>
            <a:off x="8991600" y="847725"/>
            <a:ext cx="2657475" cy="3448051"/>
            <a:chOff x="8991600" y="847725"/>
            <a:chExt cx="2657475" cy="3448051"/>
          </a:xfrm>
        </xdr:grpSpPr>
        <xdr:sp macro="" textlink="">
          <xdr:nvSpPr>
            <xdr:cNvPr id="44" name="Retângulo: Cantos Arredondados 43">
              <a:extLst>
                <a:ext uri="{FF2B5EF4-FFF2-40B4-BE49-F238E27FC236}">
                  <a16:creationId xmlns:a16="http://schemas.microsoft.com/office/drawing/2014/main" id="{11CD09C3-2702-46DD-B79B-F32197FA1E9E}"/>
                </a:ext>
              </a:extLst>
            </xdr:cNvPr>
            <xdr:cNvSpPr/>
          </xdr:nvSpPr>
          <xdr:spPr>
            <a:xfrm>
              <a:off x="899160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Demonstrativos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69" name="Agrupar 68">
              <a:extLst>
                <a:ext uri="{FF2B5EF4-FFF2-40B4-BE49-F238E27FC236}">
                  <a16:creationId xmlns:a16="http://schemas.microsoft.com/office/drawing/2014/main" id="{A72BDFC8-1F4A-4DA0-ABE9-949EE0396093}"/>
                </a:ext>
              </a:extLst>
            </xdr:cNvPr>
            <xdr:cNvGrpSpPr/>
          </xdr:nvGrpSpPr>
          <xdr:grpSpPr>
            <a:xfrm>
              <a:off x="9039225" y="2038350"/>
              <a:ext cx="2533650" cy="771526"/>
              <a:chOff x="9134475" y="2066925"/>
              <a:chExt cx="2533650" cy="771526"/>
            </a:xfrm>
          </xdr:grpSpPr>
          <xdr:sp macro="[0]!DashboardReceber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38F7F601-3380-462B-A2A0-9B7AD138E6D1}"/>
                  </a:ext>
                </a:extLst>
              </xdr:cNvPr>
              <xdr:cNvSpPr/>
            </xdr:nvSpPr>
            <xdr:spPr>
              <a:xfrm>
                <a:off x="9134475" y="2114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Recebimentos</a:t>
                </a:r>
              </a:p>
            </xdr:txBody>
          </xdr:sp>
          <xdr:pic macro="[0]!DashboardReceber"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57E18313-068B-4E47-A71A-492D21E1DAB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72575" y="2066925"/>
                <a:ext cx="790575" cy="771526"/>
              </a:xfrm>
              <a:prstGeom prst="rect">
                <a:avLst/>
              </a:prstGeom>
            </xdr:spPr>
          </xdr:pic>
        </xdr:grpSp>
        <xdr:grpSp>
          <xdr:nvGrpSpPr>
            <xdr:cNvPr id="66" name="Agrupar 65">
              <a:extLst>
                <a:ext uri="{FF2B5EF4-FFF2-40B4-BE49-F238E27FC236}">
                  <a16:creationId xmlns:a16="http://schemas.microsoft.com/office/drawing/2014/main" id="{BC0601C4-A8B2-49B4-A9B3-D4134C226D8A}"/>
                </a:ext>
              </a:extLst>
            </xdr:cNvPr>
            <xdr:cNvGrpSpPr/>
          </xdr:nvGrpSpPr>
          <xdr:grpSpPr>
            <a:xfrm>
              <a:off x="9039225" y="1371599"/>
              <a:ext cx="2533650" cy="714375"/>
              <a:chOff x="9134475" y="1400174"/>
              <a:chExt cx="2533650" cy="714375"/>
            </a:xfrm>
          </xdr:grpSpPr>
          <xdr:sp macro="[0]!DashboardApagar" textlink="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F6D63C3D-AD8D-4FAF-9CB5-908BF4EC079D}"/>
                  </a:ext>
                </a:extLst>
              </xdr:cNvPr>
              <xdr:cNvSpPr/>
            </xdr:nvSpPr>
            <xdr:spPr>
              <a:xfrm>
                <a:off x="9134475" y="14097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1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08EAC8F3-124E-4ACD-9CD3-F7487F62877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210675" y="1400174"/>
                <a:ext cx="714375" cy="714375"/>
              </a:xfrm>
              <a:prstGeom prst="rect">
                <a:avLst/>
              </a:prstGeom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441D8F75-C8FB-425E-9222-21E2AD529E83}"/>
                </a:ext>
              </a:extLst>
            </xdr:cNvPr>
            <xdr:cNvGrpSpPr/>
          </xdr:nvGrpSpPr>
          <xdr:grpSpPr>
            <a:xfrm>
              <a:off x="9048750" y="2724150"/>
              <a:ext cx="2533650" cy="723900"/>
              <a:chOff x="9144000" y="3467100"/>
              <a:chExt cx="2533650" cy="723900"/>
            </a:xfrm>
          </xdr:grpSpPr>
          <xdr:sp macro="[0]!ChamaVistoriaPendentes" textlink="">
            <xdr:nvSpPr>
              <xdr:cNvPr id="51" name="Retângulo: Cantos Arredondados 50">
                <a:extLst>
                  <a:ext uri="{FF2B5EF4-FFF2-40B4-BE49-F238E27FC236}">
                    <a16:creationId xmlns:a16="http://schemas.microsoft.com/office/drawing/2014/main" id="{0C8E3579-0430-4158-9AD9-7205F3872BEC}"/>
                  </a:ext>
                </a:extLst>
              </xdr:cNvPr>
              <xdr:cNvSpPr/>
            </xdr:nvSpPr>
            <xdr:spPr>
              <a:xfrm>
                <a:off x="9144000" y="35052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Pendência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Vistoria</a:t>
                </a:r>
                <a:endPara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5" name="Imagem 4">
                <a:extLst>
                  <a:ext uri="{FF2B5EF4-FFF2-40B4-BE49-F238E27FC236}">
                    <a16:creationId xmlns:a16="http://schemas.microsoft.com/office/drawing/2014/main" id="{7F6D8ADE-1A68-4527-B966-795D2182E1D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44000" y="3467100"/>
                <a:ext cx="723900" cy="723900"/>
              </a:xfrm>
              <a:prstGeom prst="rect">
                <a:avLst/>
              </a:prstGeom>
            </xdr:spPr>
          </xdr:pic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0652093-97F7-4C73-85EA-3A452F3A0855}"/>
              </a:ext>
            </a:extLst>
          </xdr:cNvPr>
          <xdr:cNvGrpSpPr/>
        </xdr:nvGrpSpPr>
        <xdr:grpSpPr>
          <a:xfrm>
            <a:off x="3419475" y="895350"/>
            <a:ext cx="2657475" cy="3448051"/>
            <a:chOff x="4591050" y="1028700"/>
            <a:chExt cx="2657475" cy="3448051"/>
          </a:xfrm>
        </xdr:grpSpPr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CAD70086-9ED8-4EFB-97F5-D54D22D696E1}"/>
                </a:ext>
              </a:extLst>
            </xdr:cNvPr>
            <xdr:cNvGrpSpPr/>
          </xdr:nvGrpSpPr>
          <xdr:grpSpPr>
            <a:xfrm>
              <a:off x="4591050" y="1028700"/>
              <a:ext cx="2657475" cy="3448051"/>
              <a:chOff x="3695700" y="866775"/>
              <a:chExt cx="2657475" cy="3448051"/>
            </a:xfrm>
          </xdr:grpSpPr>
          <xdr:sp macro="" textlink="">
            <xdr:nvSpPr>
              <xdr:cNvPr id="38" name="Retângulo: Cantos Arredondados 37">
                <a:extLst>
                  <a:ext uri="{FF2B5EF4-FFF2-40B4-BE49-F238E27FC236}">
                    <a16:creationId xmlns:a16="http://schemas.microsoft.com/office/drawing/2014/main" id="{D6AA1E49-772A-4529-BBC8-393660C246FA}"/>
                  </a:ext>
                </a:extLst>
              </xdr:cNvPr>
              <xdr:cNvSpPr/>
            </xdr:nvSpPr>
            <xdr:spPr>
              <a:xfrm>
                <a:off x="3695700" y="866775"/>
                <a:ext cx="2657475" cy="3448051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600" b="1"/>
                  <a:t>Lançamentos</a:t>
                </a:r>
              </a:p>
              <a:p>
                <a:pPr algn="ctr"/>
                <a:endParaRPr lang="pt-BR" sz="1600" b="1"/>
              </a:p>
            </xdr:txBody>
          </xdr:sp>
          <xdr:grpSp>
            <xdr:nvGrpSpPr>
              <xdr:cNvPr id="40" name="Agrupar 39">
                <a:extLst>
                  <a:ext uri="{FF2B5EF4-FFF2-40B4-BE49-F238E27FC236}">
                    <a16:creationId xmlns:a16="http://schemas.microsoft.com/office/drawing/2014/main" id="{8740AB46-5184-4BBC-B929-2F34F481E318}"/>
                  </a:ext>
                </a:extLst>
              </xdr:cNvPr>
              <xdr:cNvGrpSpPr/>
            </xdr:nvGrpSpPr>
            <xdr:grpSpPr>
              <a:xfrm>
                <a:off x="3762376" y="2095500"/>
                <a:ext cx="2574000" cy="647700"/>
                <a:chOff x="9886951" y="1905000"/>
                <a:chExt cx="2533650" cy="647700"/>
              </a:xfrm>
            </xdr:grpSpPr>
            <xdr:sp macro="[0]!ChamarLancPenhor" textlink="">
              <xdr:nvSpPr>
                <xdr:cNvPr id="14" name="Retângulo: Cantos Arredondados 13">
                  <a:extLst>
                    <a:ext uri="{FF2B5EF4-FFF2-40B4-BE49-F238E27FC236}">
                      <a16:creationId xmlns:a16="http://schemas.microsoft.com/office/drawing/2014/main" id="{DB8DA108-148E-4C05-8F5A-FE6394D039EA}"/>
                    </a:ext>
                  </a:extLst>
                </xdr:cNvPr>
                <xdr:cNvSpPr/>
              </xdr:nvSpPr>
              <xdr:spPr>
                <a:xfrm>
                  <a:off x="9886951" y="1905000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</a:t>
                  </a:r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Lançamento de Penhor</a:t>
                  </a:r>
                </a:p>
              </xdr:txBody>
            </xdr:sp>
            <xdr:pic>
              <xdr:nvPicPr>
                <xdr:cNvPr id="18" name="Imagem 17">
                  <a:extLst>
                    <a:ext uri="{FF2B5EF4-FFF2-40B4-BE49-F238E27FC236}">
                      <a16:creationId xmlns:a16="http://schemas.microsoft.com/office/drawing/2014/main" id="{BED0CF73-78FC-4D9D-94C0-4183228FFCD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53625" y="1914525"/>
                  <a:ext cx="609600" cy="60960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34A51154-8BCD-49C2-9173-0CFAE77E5BCA}"/>
                  </a:ext>
                </a:extLst>
              </xdr:cNvPr>
              <xdr:cNvGrpSpPr/>
            </xdr:nvGrpSpPr>
            <xdr:grpSpPr>
              <a:xfrm>
                <a:off x="3752851" y="2781300"/>
                <a:ext cx="2574000" cy="647700"/>
                <a:chOff x="3752851" y="2781300"/>
                <a:chExt cx="2574000" cy="647700"/>
              </a:xfrm>
            </xdr:grpSpPr>
            <xdr:sp macro="[0]!ChamarPagamento" textlink="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EED96968-216E-4F80-9916-9A5530655597}"/>
                    </a:ext>
                  </a:extLst>
                </xdr:cNvPr>
                <xdr:cNvSpPr/>
              </xdr:nvSpPr>
              <xdr:spPr>
                <a:xfrm>
                  <a:off x="3752851" y="2781300"/>
                  <a:ext cx="257400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Pagamentos Peritos</a:t>
                  </a:r>
                </a:p>
              </xdr:txBody>
            </xdr:sp>
            <xdr:pic>
              <xdr:nvPicPr>
                <xdr:cNvPr id="49" name="Imagem 48">
                  <a:extLst>
                    <a:ext uri="{FF2B5EF4-FFF2-40B4-BE49-F238E27FC236}">
                      <a16:creationId xmlns:a16="http://schemas.microsoft.com/office/drawing/2014/main" id="{FCA40E52-DB80-471C-B1A8-25E6827F3D5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886200" y="2790825"/>
                  <a:ext cx="609600" cy="609600"/>
                </a:xfrm>
                <a:prstGeom prst="rect">
                  <a:avLst/>
                </a:prstGeom>
              </xdr:spPr>
            </xdr:pic>
          </xdr:grpSp>
          <xdr:sp macro="[0]!ChamarRecebimento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57B1C42C-19F9-4CDA-AA34-BBAE846F43FF}"/>
                  </a:ext>
                </a:extLst>
              </xdr:cNvPr>
              <xdr:cNvSpPr/>
            </xdr:nvSpPr>
            <xdr:spPr>
              <a:xfrm>
                <a:off x="3743325" y="34671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Recebimento Seguradoras</a:t>
                </a:r>
              </a:p>
            </xdr:txBody>
          </xdr:sp>
          <xdr:grpSp>
            <xdr:nvGrpSpPr>
              <xdr:cNvPr id="39" name="Agrupar 38">
                <a:extLst>
                  <a:ext uri="{FF2B5EF4-FFF2-40B4-BE49-F238E27FC236}">
                    <a16:creationId xmlns:a16="http://schemas.microsoft.com/office/drawing/2014/main" id="{B4229E61-2CE6-4CDC-843C-249626192090}"/>
                  </a:ext>
                </a:extLst>
              </xdr:cNvPr>
              <xdr:cNvGrpSpPr/>
            </xdr:nvGrpSpPr>
            <xdr:grpSpPr>
              <a:xfrm>
                <a:off x="3743326" y="1390650"/>
                <a:ext cx="2574000" cy="647700"/>
                <a:chOff x="9858376" y="1171575"/>
                <a:chExt cx="2533650" cy="647700"/>
              </a:xfrm>
            </xdr:grpSpPr>
            <xdr:sp macro="[0]!ChamarLancPericia" textlink="">
              <xdr:nvSpPr>
                <xdr:cNvPr id="17" name="Retângulo: Cantos Arredondados 16">
                  <a:extLst>
                    <a:ext uri="{FF2B5EF4-FFF2-40B4-BE49-F238E27FC236}">
                      <a16:creationId xmlns:a16="http://schemas.microsoft.com/office/drawing/2014/main" id="{7A1AB208-7E87-478F-AAE2-AEE61C4AD456}"/>
                    </a:ext>
                  </a:extLst>
                </xdr:cNvPr>
                <xdr:cNvSpPr/>
              </xdr:nvSpPr>
              <xdr:spPr>
                <a:xfrm>
                  <a:off x="9858376" y="1171575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 Lançamento de Pericias </a:t>
                  </a:r>
                </a:p>
              </xdr:txBody>
            </xdr:sp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B793AEFE-20DA-4046-B155-5D4F1AA39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15525" y="1209675"/>
                  <a:ext cx="609600" cy="609600"/>
                </a:xfrm>
                <a:prstGeom prst="rect">
                  <a:avLst/>
                </a:prstGeom>
              </xdr:spPr>
            </xdr:pic>
          </xdr:grpSp>
        </xdr:grpSp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A0B6A9BA-08C4-4961-A242-BFAE979EF5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24400" y="3638550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66674</xdr:rowOff>
    </xdr:from>
    <xdr:to>
      <xdr:col>13</xdr:col>
      <xdr:colOff>914400</xdr:colOff>
      <xdr:row>1</xdr:row>
      <xdr:rowOff>228600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0448925" y="6667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1</xdr:row>
      <xdr:rowOff>9523</xdr:rowOff>
    </xdr:from>
    <xdr:to>
      <xdr:col>0</xdr:col>
      <xdr:colOff>476250</xdr:colOff>
      <xdr:row>1</xdr:row>
      <xdr:rowOff>219073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2DE5FF19-4341-40F2-AD07-9D550798AC5D}"/>
            </a:ext>
          </a:extLst>
        </xdr:cNvPr>
        <xdr:cNvSpPr/>
      </xdr:nvSpPr>
      <xdr:spPr>
        <a:xfrm rot="10800000">
          <a:off x="114300" y="200023"/>
          <a:ext cx="361950" cy="209550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38100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19050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85725</xdr:colOff>
      <xdr:row>8</xdr:row>
      <xdr:rowOff>161925</xdr:rowOff>
    </xdr:from>
    <xdr:to>
      <xdr:col>3</xdr:col>
      <xdr:colOff>85725</xdr:colOff>
      <xdr:row>22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PERITO">
              <a:extLst>
                <a:ext uri="{FF2B5EF4-FFF2-40B4-BE49-F238E27FC236}">
                  <a16:creationId xmlns:a16="http://schemas.microsoft.com/office/drawing/2014/main" id="{EE7B914C-8FFE-4FA4-9C89-FADE0FE89D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2000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8</xdr:row>
      <xdr:rowOff>161925</xdr:rowOff>
    </xdr:from>
    <xdr:to>
      <xdr:col>6</xdr:col>
      <xdr:colOff>133350</xdr:colOff>
      <xdr:row>22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SEGURADORA">
              <a:extLst>
                <a:ext uri="{FF2B5EF4-FFF2-40B4-BE49-F238E27FC236}">
                  <a16:creationId xmlns:a16="http://schemas.microsoft.com/office/drawing/2014/main" id="{87452C4B-BECA-4753-B599-1BE98D5574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2000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85725</xdr:colOff>
      <xdr:row>22</xdr:row>
      <xdr:rowOff>57150</xdr:rowOff>
    </xdr:from>
    <xdr:to>
      <xdr:col>3</xdr:col>
      <xdr:colOff>85725</xdr:colOff>
      <xdr:row>35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STATUS">
              <a:extLst>
                <a:ext uri="{FF2B5EF4-FFF2-40B4-BE49-F238E27FC236}">
                  <a16:creationId xmlns:a16="http://schemas.microsoft.com/office/drawing/2014/main" id="{2264177F-CD67-4659-BC6C-FF4BF724EB9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456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</xdr:row>
      <xdr:rowOff>76200</xdr:rowOff>
    </xdr:from>
    <xdr:to>
      <xdr:col>6</xdr:col>
      <xdr:colOff>133349</xdr:colOff>
      <xdr:row>8</xdr:row>
      <xdr:rowOff>114300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4" name="DT LANCAMENTO">
              <a:extLst>
                <a:ext uri="{FF2B5EF4-FFF2-40B4-BE49-F238E27FC236}">
                  <a16:creationId xmlns:a16="http://schemas.microsoft.com/office/drawing/2014/main" id="{F15D56DF-EA0C-48E5-923F-C77911D8C1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T LANC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581025"/>
              <a:ext cx="3705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6</xdr:col>
      <xdr:colOff>200025</xdr:colOff>
      <xdr:row>1</xdr:row>
      <xdr:rowOff>47625</xdr:rowOff>
    </xdr:from>
    <xdr:to>
      <xdr:col>19</xdr:col>
      <xdr:colOff>561975</xdr:colOff>
      <xdr:row>15</xdr:row>
      <xdr:rowOff>123825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AC852FE0-0758-45EB-964D-B60BA49DA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16</xdr:row>
      <xdr:rowOff>76199</xdr:rowOff>
    </xdr:from>
    <xdr:to>
      <xdr:col>19</xdr:col>
      <xdr:colOff>476249</xdr:colOff>
      <xdr:row>33</xdr:row>
      <xdr:rowOff>104774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971B358-8E32-422E-BBFA-9FB63956D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115675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571501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50482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1</xdr:rowOff>
    </xdr:from>
    <xdr:to>
      <xdr:col>24</xdr:col>
      <xdr:colOff>514351</xdr:colOff>
      <xdr:row>0</xdr:row>
      <xdr:rowOff>628651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21659850" y="1"/>
          <a:ext cx="1733551" cy="628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200024</xdr:colOff>
      <xdr:row>1</xdr:row>
      <xdr:rowOff>47625</xdr:rowOff>
    </xdr:from>
    <xdr:to>
      <xdr:col>19</xdr:col>
      <xdr:colOff>514349</xdr:colOff>
      <xdr:row>15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FCA814A-47CF-4BA6-A65F-A19879EBE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123825</xdr:colOff>
      <xdr:row>8</xdr:row>
      <xdr:rowOff>161925</xdr:rowOff>
    </xdr:from>
    <xdr:to>
      <xdr:col>6</xdr:col>
      <xdr:colOff>123825</xdr:colOff>
      <xdr:row>22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STATUS 2">
              <a:extLst>
                <a:ext uri="{FF2B5EF4-FFF2-40B4-BE49-F238E27FC236}">
                  <a16:creationId xmlns:a16="http://schemas.microsoft.com/office/drawing/2014/main" id="{BA4DE810-DCE6-47DB-9D3E-F92C46B9D2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5" y="2000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8</xdr:row>
      <xdr:rowOff>152400</xdr:rowOff>
    </xdr:from>
    <xdr:to>
      <xdr:col>3</xdr:col>
      <xdr:colOff>104775</xdr:colOff>
      <xdr:row>22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SEGURADORA 2">
              <a:extLst>
                <a:ext uri="{FF2B5EF4-FFF2-40B4-BE49-F238E27FC236}">
                  <a16:creationId xmlns:a16="http://schemas.microsoft.com/office/drawing/2014/main" id="{09E57F28-383A-466B-9DFB-3169E01EBB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114299</xdr:colOff>
      <xdr:row>1</xdr:row>
      <xdr:rowOff>66675</xdr:rowOff>
    </xdr:from>
    <xdr:to>
      <xdr:col>6</xdr:col>
      <xdr:colOff>123824</xdr:colOff>
      <xdr:row>8</xdr:row>
      <xdr:rowOff>104775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DT LANCAMENTO 1">
              <a:extLst>
                <a:ext uri="{FF2B5EF4-FFF2-40B4-BE49-F238E27FC236}">
                  <a16:creationId xmlns:a16="http://schemas.microsoft.com/office/drawing/2014/main" id="{8C60EDD9-F4A3-4B27-803A-9AF0CB21B0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T LANC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" y="571500"/>
              <a:ext cx="36671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6</xdr:col>
      <xdr:colOff>171450</xdr:colOff>
      <xdr:row>15</xdr:row>
      <xdr:rowOff>190499</xdr:rowOff>
    </xdr:from>
    <xdr:to>
      <xdr:col>19</xdr:col>
      <xdr:colOff>495300</xdr:colOff>
      <xdr:row>30</xdr:row>
      <xdr:rowOff>142874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EEE70A9-0BCC-45F4-8B68-12B6D4EB5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4.053350115741" createdVersion="6" refreshedVersion="6" minRefreshableVersion="3" recordCount="3" xr:uid="{D166E7A9-87FE-4228-9291-9CD046157291}">
  <cacheSource type="worksheet">
    <worksheetSource name="Tabela4"/>
  </cacheSource>
  <cacheFields count="36">
    <cacheField name="DT RECEBIMENTO" numFmtId="14">
      <sharedItems containsSemiMixedTypes="0" containsNonDate="0" containsDate="1" containsString="0" minDate="2021-02-01T00:00:00" maxDate="2021-02-22T00:00:00" count="4">
        <d v="2021-02-20T00:00:00"/>
        <d v="2021-02-01T00:00:00"/>
        <d v="2021-02-10T00:00:00"/>
        <d v="2021-02-21T00:00:00" u="1"/>
      </sharedItems>
    </cacheField>
    <cacheField name="NF" numFmtId="0">
      <sharedItems containsString="0" containsBlank="1" containsNumber="1" containsInteger="1" minValue="1" maxValue="1"/>
    </cacheField>
    <cacheField name="DT VISTORIA " numFmtId="14">
      <sharedItems containsDate="1" containsBlank="1" containsMixedTypes="1" minDate="2021-02-21T00:00:00" maxDate="2021-02-22T00:00:00" count="3">
        <s v="26/02/2021"/>
        <m/>
        <d v="2021-02-21T00:00:00" u="1"/>
      </sharedItems>
    </cacheField>
    <cacheField name="DT REVISTORIA" numFmtId="14">
      <sharedItems containsBlank="1"/>
    </cacheField>
    <cacheField name="APÓLICE " numFmtId="0">
      <sharedItems containsNonDate="0" containsString="0" containsBlank="1"/>
    </cacheField>
    <cacheField name="SINISTRO" numFmtId="2">
      <sharedItems containsSemiMixedTypes="0" containsString="0" containsNumber="1" containsInteger="1" minValue="2" maxValue="12587" count="6">
        <n v="2"/>
        <n v="12587"/>
        <n v="12258"/>
        <n v="1253" u="1"/>
        <n v="123" u="1"/>
        <n v="145" u="1"/>
      </sharedItems>
    </cacheField>
    <cacheField name="SEGURADO" numFmtId="0">
      <sharedItems count="6">
        <s v="SILVIO"/>
        <s v="Augusto santos"/>
        <s v="Jonas"/>
        <s v="Marcos Dutra" u="1"/>
        <s v="Cleiton" u="1"/>
        <s v="Fernando" u="1"/>
      </sharedItems>
    </cacheField>
    <cacheField name="MUNICIPIO " numFmtId="0">
      <sharedItems count="2">
        <s v="Cascavel"/>
        <s v="Toledo"/>
      </sharedItems>
    </cacheField>
    <cacheField name="UF" numFmtId="0">
      <sharedItems count="1">
        <s v="PR"/>
      </sharedItems>
    </cacheField>
    <cacheField name="NATUREZA DO SINISTRO" numFmtId="0">
      <sharedItems/>
    </cacheField>
    <cacheField name="PERITO " numFmtId="0">
      <sharedItems/>
    </cacheField>
    <cacheField name=" HONORÁRIO R$  " numFmtId="0">
      <sharedItems containsString="0" containsBlank="1" containsNumber="1" containsInteger="1" minValue="150" maxValue="150"/>
    </cacheField>
    <cacheField name="KM  " numFmtId="0">
      <sharedItems containsString="0" containsBlank="1" containsNumber="1" containsInteger="1" minValue="1" maxValue="1"/>
    </cacheField>
    <cacheField name="KM R$" numFmtId="0">
      <sharedItems containsString="0" containsBlank="1" containsNumber="1" containsInteger="1" minValue="1" maxValue="1"/>
    </cacheField>
    <cacheField name="PEDÁGIO " numFmtId="0">
      <sharedItems containsString="0" containsBlank="1" containsNumber="1" containsInteger="1" minValue="1" maxValue="1"/>
    </cacheField>
    <cacheField name="HOTEL " numFmtId="0">
      <sharedItems containsString="0" containsBlank="1" containsNumber="1" containsInteger="1" minValue="1" maxValue="1"/>
    </cacheField>
    <cacheField name="REFEIÇÃO " numFmtId="0">
      <sharedItems containsString="0" containsBlank="1" containsNumber="1" containsInteger="1" minValue="1" maxValue="1"/>
    </cacheField>
    <cacheField name="PASSAGEM ÁERA" numFmtId="0">
      <sharedItems containsString="0" containsBlank="1" containsNumber="1" containsInteger="1" minValue="1" maxValue="1"/>
    </cacheField>
    <cacheField name="ALUGUEL CARRO " numFmtId="0">
      <sharedItems containsString="0" containsBlank="1" containsNumber="1" containsInteger="1" minValue="1" maxValue="1"/>
    </cacheField>
    <cacheField name="OUTROS " numFmtId="0">
      <sharedItems containsString="0" containsBlank="1" containsNumber="1" containsInteger="1" minValue="1" maxValue="1"/>
    </cacheField>
    <cacheField name="TOTAL  " numFmtId="0">
      <sharedItems containsString="0" containsBlank="1" containsNumber="1" containsInteger="1" minValue="157" maxValue="157"/>
    </cacheField>
    <cacheField name="SEGURADORA" numFmtId="0">
      <sharedItems/>
    </cacheField>
    <cacheField name="STATUS SEGURADORA" numFmtId="0">
      <sharedItems containsMixedTypes="1" containsNumber="1" containsInteger="1" minValue="2" maxValue="2"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3T00:00:00" maxDate="2021-02-28T00:00:00"/>
    </cacheField>
    <cacheField name="KM RODADO EMPRESA" numFmtId="44">
      <sharedItems containsString="0" containsBlank="1" containsNumber="1" containsInteger="1" minValue="1" maxValue="1"/>
    </cacheField>
    <cacheField name="KM R$ EMPR" numFmtId="44">
      <sharedItems containsString="0" containsBlank="1" containsNumber="1" containsInteger="1" minValue="2" maxValue="2"/>
    </cacheField>
    <cacheField name="DT AGENDAMENTO" numFmtId="14">
      <sharedItems containsSemiMixedTypes="0" containsNonDate="0" containsDate="1" containsString="0" minDate="2021-02-15T00:00:00" maxDate="2021-03-02T00:00:00" count="3">
        <d v="2021-02-23T00:00:00"/>
        <d v="2021-03-01T00:00:00"/>
        <d v="2021-02-15T00:00:00"/>
      </sharedItems>
    </cacheField>
    <cacheField name="HONORARIO EMPRESA" numFmtId="0">
      <sharedItems containsString="0" containsBlank="1" containsNumber="1" containsInteger="1" minValue="300" maxValue="300"/>
    </cacheField>
    <cacheField name="TOTAL EMPRESA" numFmtId="0">
      <sharedItems containsString="0" containsBlank="1" containsNumber="1" containsInteger="1" minValue="309" maxValue="309"/>
    </cacheField>
    <cacheField name="KM R$ EMPR2" numFmtId="0">
      <sharedItems containsNonDate="0" containsString="0" containsBlank="1"/>
    </cacheField>
    <cacheField name="PAGTO PERITO" numFmtId="0">
      <sharedItems containsNonDate="0" containsString="0" containsBlank="1"/>
    </cacheField>
    <cacheField name="PAGTO SEGURADORA" numFmtId="0">
      <sharedItems containsNonDate="0" containsString="0" containsBlank="1"/>
    </cacheField>
    <cacheField name="TIPO DO BEN" numFmtId="0">
      <sharedItems containsNonDate="0" containsString="0" containsBlank="1"/>
    </cacheField>
    <cacheField name="DT LANÇAMENT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4.053350462964" createdVersion="6" refreshedVersion="6" minRefreshableVersion="3" recordCount="4" xr:uid="{B62C7716-6BAC-4E92-9E21-C2BC846F8282}">
  <cacheSource type="worksheet">
    <worksheetSource name="Tabela3"/>
  </cacheSource>
  <cacheFields count="33">
    <cacheField name="DT RECEBIMENTO" numFmtId="14">
      <sharedItems containsDate="1" containsMixedTypes="1" minDate="2021-01-02T00:00:00" maxDate="2021-01-03T00:00:00" count="5">
        <s v="20/02/2021"/>
        <s v="27/02/2021"/>
        <s v="23/02/2021"/>
        <d v="2021-01-02T00:00:00"/>
        <s v="21/02/2021" u="1"/>
      </sharedItems>
    </cacheField>
    <cacheField name="DT VISTORIA" numFmtId="14">
      <sharedItems containsDate="1" containsBlank="1" containsMixedTypes="1" minDate="2021-02-02T00:00:00" maxDate="2021-03-03T00:00:00" count="7">
        <s v="23/02/2021"/>
        <s v="27/02/2021"/>
        <d v="2021-02-02T00:00:00"/>
        <d v="2021-03-02T00:00:00"/>
        <m u="1"/>
        <s v="22/02/2021" u="1"/>
        <s v="21/02/2021" u="1"/>
      </sharedItems>
    </cacheField>
    <cacheField name="DT ENTREGA " numFmtId="14">
      <sharedItems containsBlank="1"/>
    </cacheField>
    <cacheField name="NF" numFmtId="1">
      <sharedItems containsSemiMixedTypes="0" containsString="0" containsNumber="1" containsInteger="1" minValue="1" maxValue="11"/>
    </cacheField>
    <cacheField name="SINISTRO" numFmtId="1">
      <sharedItems containsSemiMixedTypes="0" containsString="0" containsNumber="1" containsInteger="1" minValue="1" maxValue="158" count="5">
        <n v="1"/>
        <n v="5"/>
        <n v="158"/>
        <n v="125" u="1"/>
        <n v="3" u="1"/>
      </sharedItems>
    </cacheField>
    <cacheField name="APÓLICE" numFmtId="1">
      <sharedItems containsSemiMixedTypes="0" containsString="0" containsNumber="1" containsInteger="1" minValue="15" maxValue="1215"/>
    </cacheField>
    <cacheField name="PROPOSTA" numFmtId="2">
      <sharedItems containsSemiMixedTypes="0" containsString="0" containsNumber="1" containsInteger="1" minValue="1" maxValue="1255"/>
    </cacheField>
    <cacheField name="SEGURADO" numFmtId="0">
      <sharedItems count="6">
        <s v="Jose"/>
        <s v="Marilda"/>
        <s v="Gilberto"/>
        <s v="Paulo"/>
        <s v="José" u="1"/>
        <s v="Pedro" u="1"/>
      </sharedItems>
    </cacheField>
    <cacheField name="OBS:" numFmtId="0">
      <sharedItems/>
    </cacheField>
    <cacheField name="MUNICIPIO " numFmtId="0">
      <sharedItems count="2">
        <s v="Cascavel"/>
        <s v="Toledo"/>
      </sharedItems>
    </cacheField>
    <cacheField name="UF" numFmtId="0">
      <sharedItems count="1">
        <s v="PR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/>
    </cacheField>
    <cacheField name="AREA SEGURADA" numFmtId="2">
      <sharedItems containsSemiMixedTypes="0" containsString="0" containsNumber="1" containsInteger="1" minValue="10" maxValue="52"/>
    </cacheField>
    <cacheField name="AREA VISTORIADA" numFmtId="2">
      <sharedItems/>
    </cacheField>
    <cacheField name="SEGURADORA" numFmtId="49">
      <sharedItems/>
    </cacheField>
    <cacheField name="HONORÁRIO R$ " numFmtId="7">
      <sharedItems containsSemiMixedTypes="0" containsString="0" containsNumber="1" containsInteger="1" minValue="130" maxValue="151"/>
    </cacheField>
    <cacheField name="KM RODADO PERITO" numFmtId="0">
      <sharedItems containsSemiMixedTypes="0" containsString="0" containsNumber="1" containsInteger="1" minValue="10" maxValue="101"/>
    </cacheField>
    <cacheField name="VALOR KM R$" numFmtId="7">
      <sharedItems containsSemiMixedTypes="0" containsString="0" containsNumber="1" containsInteger="1" minValue="0" maxValue="13"/>
    </cacheField>
    <cacheField name="KM RODADO EMPRESA" numFmtId="0">
      <sharedItems containsSemiMixedTypes="0" containsString="0" containsNumber="1" containsInteger="1" minValue="1" maxValue="10"/>
    </cacheField>
    <cacheField name="KM R$ EMPR" numFmtId="7">
      <sharedItems containsSemiMixedTypes="0" containsString="0" containsNumber="1" minValue="0" maxValue="13"/>
    </cacheField>
    <cacheField name="HOTEL" numFmtId="7">
      <sharedItems containsSemiMixedTypes="0" containsString="0" containsNumber="1" containsInteger="1" minValue="0" maxValue="50"/>
    </cacheField>
    <cacheField name="REFEIÇÃO" numFmtId="7">
      <sharedItems containsSemiMixedTypes="0" containsString="0" containsNumber="1" containsInteger="1" minValue="0" maxValue="35"/>
    </cacheField>
    <cacheField name="OUTROS " numFmtId="7">
      <sharedItems containsSemiMixedTypes="0" containsString="0" containsNumber="1" containsInteger="1" minValue="0" maxValue="10"/>
    </cacheField>
    <cacheField name="TOTAL " numFmtId="7">
      <sharedItems containsSemiMixedTypes="0" containsString="0" containsNumber="1" containsInteger="1" minValue="141" maxValue="228"/>
    </cacheField>
    <cacheField name="DT LANÇAMENTO " numFmtId="14">
      <sharedItems/>
    </cacheField>
    <cacheField name="STATUS SEGURADORA" numFmtId="14">
      <sharedItems/>
    </cacheField>
    <cacheField name="STATUS PERITO" numFmtId="14">
      <sharedItems/>
    </cacheField>
    <cacheField name="DT AGENDAMENTO" numFmtId="0">
      <sharedItems containsDate="1" containsBlank="1" containsMixedTypes="1" minDate="2021-01-03T00:00:00" maxDate="2021-03-04T00:00:00" count="6">
        <s v="23/02/2021"/>
        <d v="2021-03-03T00:00:00"/>
        <s v="26/02/2021"/>
        <d v="2021-01-03T00:00:00"/>
        <m u="1"/>
        <s v="Aberto" u="1"/>
      </sharedItems>
    </cacheField>
    <cacheField name="HONORARIO EMPRESA" numFmtId="7">
      <sharedItems containsSemiMixedTypes="0" containsString="0" containsNumber="1" containsInteger="1" minValue="300" maxValue="350"/>
    </cacheField>
    <cacheField name="TOTAL EMPRESA" numFmtId="7">
      <sharedItems containsSemiMixedTypes="0" containsString="0" containsNumber="1" minValue="336" maxValue="399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4.060934259258" createdVersion="6" refreshedVersion="6" minRefreshableVersion="3" recordCount="6" xr:uid="{7B502008-5D5A-48CC-8B86-B74337E87696}">
  <cacheSource type="worksheet">
    <worksheetSource name="Tabela7"/>
  </cacheSource>
  <cacheFields count="18">
    <cacheField name="PERITO" numFmtId="0">
      <sharedItems containsBlank="1" count="12">
        <s v="ALLISSON MINATTI RAUPP "/>
        <s v="BEATRIZ ALVES MIRA"/>
        <s v="CAINAN FAVORITO"/>
        <s v="VAGNER POTRATZ"/>
        <s v="CARLOS ROBERTO MOREIRA"/>
        <m u="1"/>
        <s v="Emerson" u="1"/>
        <s v="Vinicius Tessele" u="1"/>
        <s v="Marcos" u="1"/>
        <s v="Cleiton" u="1"/>
        <s v="Vinicius" u="1"/>
        <s v="Marcilio" u="1"/>
      </sharedItems>
    </cacheField>
    <cacheField name="SINISTRO" numFmtId="0">
      <sharedItems containsSemiMixedTypes="0" containsString="0" containsNumber="1" containsInteger="1" minValue="1" maxValue="12587" count="9">
        <n v="1"/>
        <n v="2"/>
        <n v="5"/>
        <n v="158"/>
        <n v="12587"/>
        <n v="12258"/>
        <n v="3" u="1"/>
        <n v="45" u="1"/>
        <n v="4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Date="1" containsMixedTypes="1" minDate="2020-01-01T00:00:00" maxDate="2021-05-03T00:00:00" count="7">
        <s v="23/02/2021"/>
        <s v="26/02/2021"/>
        <s v="27/02/2021"/>
        <d v="2021-03-02T00:00:00"/>
        <d v="2021-05-02T00:00:00"/>
        <d v="2020-02-02T00:00:00" u="1"/>
        <d v="2020-01-01T00:00:00" u="1"/>
      </sharedItems>
    </cacheField>
    <cacheField name="HONORÁRIO R$ " numFmtId="7">
      <sharedItems containsSemiMixedTypes="0" containsString="0" containsNumber="1" minValue="100" maxValue="1710.1" count="12">
        <n v="151"/>
        <n v="150"/>
        <n v="158"/>
        <n v="141"/>
        <n v="122"/>
        <n v="170"/>
        <n v="100" u="1"/>
        <n v="600" u="1"/>
        <n v="602.1" u="1"/>
        <n v="120" u="1"/>
        <n v="223" u="1"/>
        <n v="1710.1" u="1"/>
      </sharedItems>
    </cacheField>
    <cacheField name="VALOR KM R$" numFmtId="7">
      <sharedItems containsSemiMixedTypes="0" containsString="0" containsNumber="1" containsInteger="1" minValue="0" maxValue="252" count="10">
        <n v="13"/>
        <n v="1"/>
        <n v="195"/>
        <n v="0"/>
        <n v="15"/>
        <n v="100" u="1"/>
        <n v="252" u="1"/>
        <n v="155" u="1"/>
        <n v="158" u="1"/>
        <n v="11" u="1"/>
      </sharedItems>
    </cacheField>
    <cacheField name="HOTEL" numFmtId="7">
      <sharedItems containsSemiMixedTypes="0" containsString="0" containsNumber="1" containsInteger="1" minValue="0" maxValue="50" count="6">
        <n v="10"/>
        <n v="1"/>
        <n v="50"/>
        <n v="0"/>
        <n v="11" u="1"/>
        <n v="4" u="1"/>
      </sharedItems>
    </cacheField>
    <cacheField name="REFEIÇÃO" numFmtId="7">
      <sharedItems containsSemiMixedTypes="0" containsString="0" containsNumber="1" minValue="0" maxValue="1710.1" count="9">
        <n v="10"/>
        <n v="1"/>
        <n v="35"/>
        <n v="0"/>
        <n v="25"/>
        <n v="5" u="1"/>
        <n v="602.1" u="1"/>
        <n v="223" u="1"/>
        <n v="1710.1" u="1"/>
      </sharedItems>
    </cacheField>
    <cacheField name="PEDÁGIO " numFmtId="0">
      <sharedItems containsString="0" containsBlank="1" containsNumber="1" minValue="0" maxValue="1710.1" count="8">
        <m/>
        <n v="1"/>
        <n v="0"/>
        <n v="10"/>
        <n v="602.1" u="1"/>
        <n v="2" u="1"/>
        <n v="223" u="1"/>
        <n v="1710.1" u="1"/>
      </sharedItems>
    </cacheField>
    <cacheField name="PASSAGEM ÁERA" numFmtId="0">
      <sharedItems containsString="0" containsBlank="1" containsNumber="1" containsInteger="1" minValue="1" maxValue="11" count="5">
        <m/>
        <n v="1"/>
        <n v="10"/>
        <n v="8" u="1"/>
        <n v="11" u="1"/>
      </sharedItems>
    </cacheField>
    <cacheField name="ALUGUEL CARRO " numFmtId="0">
      <sharedItems containsString="0" containsBlank="1" containsNumber="1" minValue="1" maxValue="1710.1" count="7">
        <m/>
        <n v="1"/>
        <n v="10"/>
        <n v="602.1" u="1"/>
        <n v="223" u="1"/>
        <n v="1710.1" u="1"/>
        <n v="9" u="1"/>
      </sharedItems>
    </cacheField>
    <cacheField name="OUTROS " numFmtId="7">
      <sharedItems containsSemiMixedTypes="0" containsString="0" containsNumber="1" containsInteger="1" minValue="0" maxValue="50" count="6">
        <n v="10"/>
        <n v="1"/>
        <n v="0"/>
        <n v="6" u="1"/>
        <n v="50" u="1"/>
        <n v="11" u="1"/>
      </sharedItems>
    </cacheField>
    <cacheField name=" TOTAL " numFmtId="7">
      <sharedItems containsSemiMixedTypes="0" containsString="0" containsNumber="1" minValue="135" maxValue="1710.1" count="12">
        <n v="194"/>
        <n v="157"/>
        <n v="438"/>
        <n v="141"/>
        <n v="152"/>
        <n v="240"/>
        <n v="135" u="1"/>
        <n v="430" u="1"/>
        <n v="223" u="1"/>
        <n v="1710.1" u="1"/>
        <n v="308" u="1"/>
        <n v="164.3" u="1"/>
      </sharedItems>
    </cacheField>
    <cacheField name="DT LANCAMENTO" numFmtId="14">
      <sharedItems containsSemiMixedTypes="0" containsNonDate="0" containsDate="1" containsString="0" minDate="2021-02-26T00:00:00" maxDate="2021-02-28T00:00:00" count="2">
        <d v="2021-02-26T00:00:00"/>
        <d v="2021-02-27T00:00:00"/>
      </sharedItems>
    </cacheField>
    <cacheField name="TIPO" numFmtId="0">
      <sharedItems containsBlank="1" count="3">
        <s v="Pericia"/>
        <s v="Penhor"/>
        <m u="1"/>
      </sharedItems>
    </cacheField>
    <cacheField name="STATUS" numFmtId="0">
      <sharedItems containsBlank="1" count="3">
        <s v="Aberto"/>
        <m u="1"/>
        <s v="Liquidado" u="1"/>
      </sharedItems>
    </cacheField>
    <cacheField name="DT PAGAMENTO" numFmtId="0">
      <sharedItems containsNonDate="0" containsString="0" containsBlank="1"/>
    </cacheField>
    <cacheField name="SEGURADORA" numFmtId="0">
      <sharedItems containsBlank="1" count="10">
        <s v="NEWE                                                                  (AGRÍCOLA)"/>
        <s v="BRASIL SEG"/>
        <s v="NEWE"/>
        <s v="FAIRFAX "/>
        <s v="TOKIO MARINE "/>
        <m u="1"/>
        <s v="Banco do Brasil" u="1"/>
        <s v="BrasilSeg" u="1"/>
        <s v="NEWE SEGUROS S.A" u="1"/>
        <s v="Bradesco"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4.061183217593" createdVersion="6" refreshedVersion="6" minRefreshableVersion="3" recordCount="6" xr:uid="{DF16F052-B3E1-466F-BB5A-3079F71561C7}">
  <cacheSource type="worksheet">
    <worksheetSource name="Tabela8"/>
  </cacheSource>
  <cacheFields count="18">
    <cacheField name="PERITO" numFmtId="0">
      <sharedItems containsBlank="1" containsMixedTypes="1" containsNumber="1" containsInteger="1" minValue="1" maxValue="1" count="6">
        <s v="BEATRIZ ALVES MIRA"/>
        <s v="CAINAN FAVORITO"/>
        <s v="VAGNER POTRATZ"/>
        <s v="CARLOS ROBERTO MOREIRA"/>
        <m/>
        <n v="1" u="1"/>
      </sharedItems>
    </cacheField>
    <cacheField name="SINISTRO" numFmtId="0">
      <sharedItems containsString="0" containsBlank="1" containsNumber="1" containsInteger="1" minValue="1" maxValue="12587" count="11">
        <n v="2"/>
        <n v="5"/>
        <n v="158"/>
        <n v="12587"/>
        <n v="12258"/>
        <m/>
        <n v="987" u="1"/>
        <n v="785" u="1"/>
        <n v="1" u="1"/>
        <n v="3" u="1"/>
        <n v="4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0">
      <sharedItems containsDate="1" containsBlank="1" containsMixedTypes="1" minDate="2020-01-01T00:00:00" maxDate="2021-07-03T00:00:00" count="9">
        <s v="26/02/2021"/>
        <s v="27/02/2021"/>
        <d v="2021-03-02T00:00:00"/>
        <d v="2021-05-02T00:00:00"/>
        <m/>
        <d v="2021-02-07T00:00:00" u="1"/>
        <d v="2021-07-02T00:00:00" u="1"/>
        <s v="23/02/2021" u="1"/>
        <d v="2020-01-01T00:00:00" u="1"/>
      </sharedItems>
    </cacheField>
    <cacheField name=" HONORÁRIO R$ " numFmtId="7">
      <sharedItems containsString="0" containsBlank="1" containsNumber="1" minValue="2" maxValue="602.1" count="11">
        <n v="300"/>
        <n v="320"/>
        <n v="350"/>
        <n v="322"/>
        <n v="400"/>
        <m/>
        <n v="5" u="1"/>
        <n v="602.1" u="1"/>
        <n v="2" u="1"/>
        <n v="150" u="1"/>
        <n v="10" u="1"/>
      </sharedItems>
    </cacheField>
    <cacheField name="VALOR KM R$" numFmtId="7">
      <sharedItems containsString="0" containsBlank="1" containsNumber="1" containsInteger="1" minValue="0" maxValue="195" count="11">
        <n v="1"/>
        <n v="195"/>
        <n v="0"/>
        <n v="15"/>
        <m/>
        <n v="13" u="1"/>
        <n v="6" u="1"/>
        <n v="50" u="1"/>
        <n v="155" u="1"/>
        <n v="158" u="1"/>
        <n v="11" u="1"/>
      </sharedItems>
    </cacheField>
    <cacheField name="HOTEL" numFmtId="7">
      <sharedItems containsString="0" containsBlank="1" containsNumber="1" containsInteger="1" minValue="0" maxValue="50" count="7">
        <n v="1"/>
        <n v="50"/>
        <n v="0"/>
        <m/>
        <n v="7" u="1"/>
        <n v="11" u="1"/>
        <n v="32" u="1"/>
      </sharedItems>
    </cacheField>
    <cacheField name="REFEIÇÃO" numFmtId="7">
      <sharedItems containsString="0" containsBlank="1" containsNumber="1" containsInteger="1" minValue="0" maxValue="223" count="8">
        <n v="1"/>
        <n v="35"/>
        <n v="0"/>
        <n v="25"/>
        <m/>
        <n v="14" u="1"/>
        <n v="223" u="1"/>
        <n v="8" u="1"/>
      </sharedItems>
    </cacheField>
    <cacheField name=" PEDÁGIO " numFmtId="7">
      <sharedItems containsString="0" containsBlank="1" containsNumber="1" containsInteger="1" minValue="0" maxValue="223" count="7">
        <n v="1"/>
        <m/>
        <n v="0"/>
        <n v="10"/>
        <n v="223" u="1"/>
        <n v="9" u="1"/>
        <n v="30" u="1"/>
      </sharedItems>
    </cacheField>
    <cacheField name="PASSAGEM ÁERA" numFmtId="7">
      <sharedItems containsString="0" containsBlank="1" containsNumber="1" containsInteger="1" minValue="1" maxValue="11" count="4">
        <n v="1"/>
        <m/>
        <n v="10"/>
        <n v="11" u="1"/>
      </sharedItems>
    </cacheField>
    <cacheField name="ALUGUEL CARRO" numFmtId="7">
      <sharedItems containsString="0" containsBlank="1" containsNumber="1" containsInteger="1" minValue="1" maxValue="10" count="3">
        <n v="1"/>
        <m/>
        <n v="10"/>
      </sharedItems>
    </cacheField>
    <cacheField name="OUTROS " numFmtId="7">
      <sharedItems containsString="0" containsBlank="1" containsNumber="1" containsInteger="1" minValue="0" maxValue="50" count="7">
        <n v="1"/>
        <n v="0"/>
        <n v="10"/>
        <m/>
        <n v="50" u="1"/>
        <n v="11" u="1"/>
        <n v="12" u="1"/>
      </sharedItems>
    </cacheField>
    <cacheField name=" TOTAL " numFmtId="7">
      <sharedItems containsString="0" containsBlank="1" containsNumber="1" minValue="13" maxValue="613" count="14">
        <n v="309"/>
        <n v="613"/>
        <n v="350"/>
        <n v="362"/>
        <n v="492.5"/>
        <m/>
        <n v="13" u="1"/>
        <n v="430" u="1"/>
        <n v="462.1" u="1"/>
        <n v="16" u="1"/>
        <n v="223" u="1"/>
        <n v="390" u="1"/>
        <n v="308" u="1"/>
        <n v="164.3" u="1"/>
      </sharedItems>
    </cacheField>
    <cacheField name="DT LANCAMENTO" numFmtId="14">
      <sharedItems containsNonDate="0" containsDate="1" containsString="0" containsBlank="1" minDate="2021-02-26T00:00:00" maxDate="2021-02-28T00:00:00" count="3">
        <d v="2021-02-26T00:00:00"/>
        <d v="2021-02-27T00:00:00"/>
        <m/>
      </sharedItems>
    </cacheField>
    <cacheField name="TIPO" numFmtId="0">
      <sharedItems containsBlank="1" containsMixedTypes="1" containsNumber="1" containsInteger="1" minValue="15" maxValue="15" count="4">
        <s v="Penhor"/>
        <s v="Pericia"/>
        <m/>
        <n v="15" u="1"/>
      </sharedItems>
    </cacheField>
    <cacheField name="STATUS" numFmtId="0">
      <sharedItems containsBlank="1" containsMixedTypes="1" containsNumber="1" containsInteger="1" minValue="16" maxValue="16" count="3">
        <s v="Aberto"/>
        <m/>
        <n v="16" u="1"/>
      </sharedItems>
    </cacheField>
    <cacheField name="DT RECEBIMENTO" numFmtId="0">
      <sharedItems containsNonDate="0" containsDate="1" containsString="0" containsBlank="1" minDate="2021-02-07T00:00:00" maxDate="2021-02-23T00:00:00" count="5">
        <m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Blank="1" containsMixedTypes="1" containsNumber="1" containsInteger="1" minValue="18" maxValue="18" count="6">
        <s v="NEWE"/>
        <s v="BRASIL SEG"/>
        <s v="TOKIO MARINE "/>
        <s v="FAIRFAX "/>
        <m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1"/>
    <x v="0"/>
    <s v="25/02/2021"/>
    <m/>
    <x v="0"/>
    <x v="0"/>
    <x v="0"/>
    <x v="0"/>
    <s v="ROUBO"/>
    <s v="BEATRIZ ALVES MIRA"/>
    <n v="150"/>
    <n v="1"/>
    <n v="1"/>
    <n v="1"/>
    <n v="1"/>
    <n v="1"/>
    <n v="1"/>
    <n v="1"/>
    <n v="1"/>
    <n v="157"/>
    <s v="NEWE                                                                  (AGRÍCOLA)"/>
    <n v="2"/>
    <s v="Aberto"/>
    <s v="Equipamentos"/>
    <d v="2021-02-23T00:00:00"/>
    <n v="1"/>
    <n v="2"/>
    <x v="0"/>
    <n v="300"/>
    <n v="309"/>
    <m/>
    <m/>
    <m/>
    <m/>
    <m/>
  </r>
  <r>
    <x v="1"/>
    <m/>
    <x v="1"/>
    <m/>
    <m/>
    <x v="1"/>
    <x v="1"/>
    <x v="0"/>
    <x v="0"/>
    <s v="ROUBO"/>
    <s v="VAGNER POTRATZ"/>
    <m/>
    <m/>
    <m/>
    <m/>
    <m/>
    <m/>
    <m/>
    <m/>
    <m/>
    <m/>
    <s v="FAIRFAX "/>
    <s v="Aberto"/>
    <s v="Aberto"/>
    <s v="Maquinas"/>
    <d v="2021-02-27T00:00:00"/>
    <m/>
    <m/>
    <x v="1"/>
    <m/>
    <m/>
    <m/>
    <m/>
    <m/>
    <m/>
    <m/>
  </r>
  <r>
    <x v="2"/>
    <m/>
    <x v="1"/>
    <m/>
    <m/>
    <x v="2"/>
    <x v="2"/>
    <x v="1"/>
    <x v="0"/>
    <s v="Incendio"/>
    <s v="CARLOS ROBERTO MOREIRA"/>
    <m/>
    <m/>
    <m/>
    <m/>
    <m/>
    <m/>
    <m/>
    <m/>
    <m/>
    <m/>
    <s v="TOKIO MARINE "/>
    <s v="Aberto"/>
    <s v="Aberto"/>
    <s v="Benfeitorias"/>
    <d v="2021-02-27T00:00:00"/>
    <m/>
    <m/>
    <x v="2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m/>
    <n v="1"/>
    <x v="0"/>
    <n v="124"/>
    <n v="141"/>
    <x v="0"/>
    <s v="TESTE"/>
    <x v="0"/>
    <x v="0"/>
    <m/>
    <s v="Soja "/>
    <s v="ALLISSON MINATTI RAUPP "/>
    <s v="Preliminar"/>
    <n v="10"/>
    <s v="10,00"/>
    <s v="NEWE"/>
    <n v="151"/>
    <n v="10"/>
    <n v="13"/>
    <n v="10"/>
    <n v="13"/>
    <n v="10"/>
    <n v="10"/>
    <n v="10"/>
    <n v="194"/>
    <s v="23/02/2021"/>
    <s v="Aberto"/>
    <s v="Aberto"/>
    <x v="0"/>
    <n v="300"/>
    <n v="356"/>
  </r>
  <r>
    <x v="1"/>
    <x v="1"/>
    <s v="28/02/2021"/>
    <n v="11"/>
    <x v="1"/>
    <n v="114"/>
    <n v="1"/>
    <x v="1"/>
    <s v="treste"/>
    <x v="0"/>
    <x v="0"/>
    <m/>
    <s v="Milho"/>
    <s v="CAINAN FAVORITO"/>
    <s v="Preliminar/Final"/>
    <n v="52"/>
    <s v="52,00"/>
    <s v="NEWE"/>
    <n v="130"/>
    <n v="10"/>
    <n v="13"/>
    <n v="1"/>
    <n v="1.3"/>
    <n v="50"/>
    <n v="35"/>
    <n v="0"/>
    <n v="228"/>
    <s v="27/02/2021"/>
    <s v="Aberto"/>
    <s v="Aberto"/>
    <x v="1"/>
    <n v="300"/>
    <n v="399.3"/>
  </r>
  <r>
    <x v="2"/>
    <x v="2"/>
    <s v="25/02/2021"/>
    <n v="1"/>
    <x v="1"/>
    <n v="15"/>
    <n v="1"/>
    <x v="2"/>
    <s v="TESTE"/>
    <x v="0"/>
    <x v="0"/>
    <m/>
    <s v="Soja "/>
    <s v="MAICON GODOIS CARVALHO"/>
    <s v="Preliminar/Final"/>
    <n v="10"/>
    <s v="10,00"/>
    <s v="SWISS RE"/>
    <n v="132"/>
    <n v="10"/>
    <n v="12"/>
    <n v="10"/>
    <n v="12"/>
    <n v="10"/>
    <n v="0"/>
    <n v="0"/>
    <n v="154"/>
    <s v="27/02/2021"/>
    <s v="Aberto"/>
    <s v="Aberto"/>
    <x v="2"/>
    <n v="302"/>
    <n v="336"/>
  </r>
  <r>
    <x v="3"/>
    <x v="3"/>
    <s v="28/02/2021"/>
    <n v="10"/>
    <x v="2"/>
    <n v="1215"/>
    <n v="1255"/>
    <x v="3"/>
    <s v="TESTE"/>
    <x v="1"/>
    <x v="0"/>
    <m/>
    <s v="Milho"/>
    <s v="CAINAN FAVORITO"/>
    <s v="Preliminar/Final"/>
    <n v="12"/>
    <s v="12,00"/>
    <s v="BRASIL SEG"/>
    <n v="141"/>
    <n v="101"/>
    <n v="0"/>
    <n v="10"/>
    <n v="0"/>
    <n v="0"/>
    <n v="0"/>
    <n v="0"/>
    <n v="141"/>
    <s v="27/02/2021"/>
    <s v="Aberto"/>
    <s v="Aberto"/>
    <x v="3"/>
    <n v="350"/>
    <n v="3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m/>
    <x v="0"/>
  </r>
  <r>
    <x v="1"/>
    <x v="1"/>
    <x v="0"/>
    <x v="1"/>
    <x v="1"/>
    <x v="1"/>
    <x v="1"/>
    <x v="1"/>
    <x v="1"/>
    <x v="1"/>
    <x v="1"/>
    <x v="1"/>
    <x v="1"/>
    <x v="0"/>
    <x v="1"/>
    <x v="0"/>
    <m/>
    <x v="1"/>
  </r>
  <r>
    <x v="2"/>
    <x v="2"/>
    <x v="0"/>
    <x v="2"/>
    <x v="2"/>
    <x v="2"/>
    <x v="2"/>
    <x v="2"/>
    <x v="0"/>
    <x v="0"/>
    <x v="0"/>
    <x v="2"/>
    <x v="2"/>
    <x v="1"/>
    <x v="0"/>
    <x v="0"/>
    <m/>
    <x v="2"/>
  </r>
  <r>
    <x v="2"/>
    <x v="3"/>
    <x v="0"/>
    <x v="3"/>
    <x v="3"/>
    <x v="3"/>
    <x v="3"/>
    <x v="3"/>
    <x v="0"/>
    <x v="0"/>
    <x v="0"/>
    <x v="2"/>
    <x v="3"/>
    <x v="1"/>
    <x v="0"/>
    <x v="0"/>
    <m/>
    <x v="1"/>
  </r>
  <r>
    <x v="3"/>
    <x v="4"/>
    <x v="0"/>
    <x v="3"/>
    <x v="4"/>
    <x v="3"/>
    <x v="3"/>
    <x v="3"/>
    <x v="2"/>
    <x v="2"/>
    <x v="2"/>
    <x v="0"/>
    <x v="4"/>
    <x v="1"/>
    <x v="1"/>
    <x v="0"/>
    <m/>
    <x v="3"/>
  </r>
  <r>
    <x v="4"/>
    <x v="5"/>
    <x v="0"/>
    <x v="4"/>
    <x v="5"/>
    <x v="4"/>
    <x v="3"/>
    <x v="4"/>
    <x v="3"/>
    <x v="2"/>
    <x v="2"/>
    <x v="2"/>
    <x v="5"/>
    <x v="1"/>
    <x v="1"/>
    <x v="0"/>
    <m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"/>
    <x v="2"/>
    <x v="0"/>
    <x v="2"/>
    <x v="2"/>
    <x v="2"/>
    <x v="2"/>
    <x v="2"/>
    <x v="1"/>
    <x v="1"/>
    <x v="1"/>
    <x v="1"/>
    <x v="2"/>
    <x v="1"/>
    <x v="1"/>
    <x v="0"/>
    <x v="0"/>
    <x v="0"/>
  </r>
  <r>
    <x v="2"/>
    <x v="3"/>
    <x v="0"/>
    <x v="2"/>
    <x v="3"/>
    <x v="2"/>
    <x v="2"/>
    <x v="2"/>
    <x v="2"/>
    <x v="2"/>
    <x v="2"/>
    <x v="2"/>
    <x v="3"/>
    <x v="1"/>
    <x v="0"/>
    <x v="0"/>
    <x v="0"/>
    <x v="2"/>
  </r>
  <r>
    <x v="3"/>
    <x v="4"/>
    <x v="0"/>
    <x v="3"/>
    <x v="4"/>
    <x v="3"/>
    <x v="2"/>
    <x v="3"/>
    <x v="3"/>
    <x v="2"/>
    <x v="2"/>
    <x v="1"/>
    <x v="4"/>
    <x v="1"/>
    <x v="0"/>
    <x v="0"/>
    <x v="0"/>
    <x v="3"/>
  </r>
  <r>
    <x v="4"/>
    <x v="5"/>
    <x v="0"/>
    <x v="4"/>
    <x v="5"/>
    <x v="4"/>
    <x v="3"/>
    <x v="4"/>
    <x v="1"/>
    <x v="1"/>
    <x v="1"/>
    <x v="3"/>
    <x v="5"/>
    <x v="2"/>
    <x v="2"/>
    <x v="1"/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19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3">
    <pivotField axis="axisRow" compact="0" outline="0" showAll="0" sortType="ascending" defaultSubtotal="0">
      <items count="5">
        <item x="0"/>
        <item m="1" x="4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h="1" m="1" x="6"/>
        <item h="1" m="1" x="5"/>
        <item m="1" x="4"/>
        <item h="1" x="0"/>
        <item h="1" x="1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5"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4"/>
        <item m="1" x="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6">
        <item x="0"/>
        <item x="2"/>
        <item m="1" x="5"/>
        <item x="3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18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9" firstHeaderRow="1" firstDataRow="1" firstDataCol="7"/>
  <pivotFields count="36">
    <pivotField axis="axisRow" compact="0" numFmtId="14" outline="0" showAll="0" sortType="ascending" defaultSubtotal="0">
      <items count="4">
        <item x="1"/>
        <item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6">
        <item m="1" x="4"/>
        <item m="1" x="5"/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m="1" x="5"/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3">
    <i>
      <x/>
      <x v="4"/>
      <x v="4"/>
      <x/>
      <x/>
      <x v="2"/>
      <x/>
    </i>
    <i>
      <x v="1"/>
      <x v="5"/>
      <x v="5"/>
      <x v="1"/>
      <x/>
      <x v="2"/>
      <x v="2"/>
    </i>
    <i>
      <x v="2"/>
      <x v="3"/>
      <x v="3"/>
      <x/>
      <x/>
      <x v="1"/>
      <x v="1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364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2:P8" firstHeaderRow="1" firstDataRow="1" firstDataCol="16"/>
  <pivotFields count="18">
    <pivotField axis="axisRow" compact="0" outline="0" showAll="0" defaultSubtotal="0">
      <items count="12">
        <item m="1" x="9"/>
        <item m="1" x="11"/>
        <item m="1" x="8"/>
        <item m="1" x="10"/>
        <item m="1" x="5"/>
        <item m="1" x="7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m="1" x="7"/>
        <item x="1"/>
        <item m="1" x="8"/>
        <item m="1" x="6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5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6"/>
        <item m="1" x="9"/>
        <item m="1" x="10"/>
        <item m="1" x="7"/>
        <item m="1" x="8"/>
        <item m="1" x="11"/>
        <item x="1"/>
        <item x="0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9"/>
        <item m="1" x="5"/>
        <item m="1" x="6"/>
        <item m="1" x="8"/>
        <item m="1" x="7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4"/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5"/>
        <item m="1" x="7"/>
        <item m="1" x="6"/>
        <item m="1" x="8"/>
        <item x="3"/>
        <item x="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5"/>
        <item m="1" x="6"/>
        <item m="1" x="4"/>
        <item m="1" x="7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4"/>
        <item m="1" x="3"/>
        <item m="1" x="5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3"/>
        <item m="1" x="5"/>
        <item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6"/>
        <item m="1" x="8"/>
        <item m="1" x="9"/>
        <item m="1" x="10"/>
        <item m="1" x="7"/>
        <item m="1" x="11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h="1" m="1" x="2"/>
        <item h="1"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6"/>
        <item m="1" x="9"/>
        <item m="1" x="5"/>
        <item m="1" x="7"/>
        <item m="1" x="8"/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6">
    <i>
      <x v="7"/>
      <x v="4"/>
      <x v="4"/>
      <x/>
      <x v="1"/>
      <x v="2"/>
      <x v="7"/>
      <x v="5"/>
      <x v="4"/>
      <x v="6"/>
      <x v="4"/>
      <x v="2"/>
      <x v="6"/>
      <x v="1"/>
      <x/>
      <x v="6"/>
    </i>
    <i>
      <x v="8"/>
      <x v="5"/>
      <x v="5"/>
      <x v="2"/>
      <x v="1"/>
      <x v="3"/>
      <x v="6"/>
      <x v="6"/>
      <x v="5"/>
      <x v="7"/>
      <x v="5"/>
      <x v="3"/>
      <x v="7"/>
      <x/>
      <x/>
      <x v="7"/>
    </i>
    <i>
      <x v="9"/>
      <x v="2"/>
      <x v="4"/>
      <x v="5"/>
      <x v="1"/>
      <x v="4"/>
      <x v="8"/>
      <x v="7"/>
      <x v="3"/>
      <x v="8"/>
      <x v="4"/>
      <x v="2"/>
      <x v="8"/>
      <x v="1"/>
      <x/>
      <x v="5"/>
    </i>
    <i r="3">
      <x v="6"/>
      <x v="1"/>
      <x v="5"/>
      <x v="9"/>
      <x v="8"/>
      <x v="2"/>
      <x v="4"/>
      <x v="4"/>
      <x v="2"/>
      <x v="9"/>
      <x v="1"/>
      <x/>
      <x v="7"/>
    </i>
    <i>
      <x v="10"/>
      <x v="4"/>
      <x v="6"/>
      <x v="7"/>
      <x v="1"/>
      <x v="5"/>
      <x v="10"/>
      <x v="8"/>
      <x v="2"/>
      <x v="4"/>
      <x v="6"/>
      <x v="4"/>
      <x v="10"/>
      <x/>
      <x/>
      <x v="8"/>
    </i>
    <i>
      <x v="11"/>
      <x v="2"/>
      <x v="6"/>
      <x v="8"/>
      <x v="1"/>
      <x v="6"/>
      <x v="11"/>
      <x v="9"/>
      <x v="2"/>
      <x v="5"/>
      <x v="7"/>
      <x v="4"/>
      <x v="11"/>
      <x/>
      <x/>
      <x v="9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404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2:Q4" firstHeaderRow="1" firstDataRow="1" firstDataCol="17"/>
  <pivotFields count="18">
    <pivotField axis="axisRow" compact="0" outline="0" showAll="0" defaultSubtotal="0">
      <items count="6">
        <item m="1" x="5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10"/>
        <item m="1" x="7"/>
        <item m="1" x="6"/>
        <item x="0"/>
        <item m="1" x="8"/>
        <item m="1" x="9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9">
        <item m="1" x="8"/>
        <item m="1" x="6"/>
        <item m="1" x="5"/>
        <item m="1" x="7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8"/>
        <item m="1" x="10"/>
        <item m="1" x="6"/>
        <item m="1" x="7"/>
        <item m="1" x="9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m="1" x="10"/>
        <item m="1" x="7"/>
        <item m="1" x="6"/>
        <item m="1" x="9"/>
        <item m="1" x="8"/>
        <item m="1" x="5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0"/>
        <item m="1" x="5"/>
        <item m="1" x="6"/>
        <item m="1" x="4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m="1" x="5"/>
        <item m="1" x="6"/>
        <item m="1" x="7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0"/>
        <item m="1" x="6"/>
        <item m="1" x="4"/>
        <item m="1" x="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0"/>
        <item m="1" x="5"/>
        <item m="1" x="6"/>
        <item x="1"/>
        <item x="2"/>
        <item m="1"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m="1" x="9"/>
        <item m="1" x="10"/>
        <item m="1" x="8"/>
        <item m="1" x="6"/>
        <item m="1" x="12"/>
        <item m="1" x="11"/>
        <item m="1" x="7"/>
        <item m="1" x="13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m="1" x="2"/>
        <item m="1" x="4"/>
        <item x="0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5"/>
        <item x="0"/>
        <item h="1" x="1"/>
        <item h="1" x="4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  <field x="10"/>
  </rowFields>
  <rowItems count="2">
    <i>
      <x v="1"/>
      <x v="3"/>
      <x/>
      <x v="4"/>
      <x v="5"/>
      <x/>
      <x/>
      <x/>
      <x/>
      <x/>
      <x/>
      <x v="8"/>
      <x v="1"/>
      <x v="1"/>
      <x v="2"/>
      <x v="1"/>
      <x/>
    </i>
    <i>
      <x v="2"/>
      <x v="7"/>
      <x/>
      <x v="6"/>
      <x v="7"/>
      <x v="8"/>
      <x v="4"/>
      <x v="4"/>
      <x v="4"/>
      <x v="3"/>
      <x v="3"/>
      <x v="10"/>
      <x v="2"/>
      <x v="1"/>
      <x v="2"/>
      <x v="1"/>
      <x v="1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6">
        <i x="0" s="1"/>
        <i x="1" s="1"/>
        <i x="5" s="1" nd="1"/>
        <i x="3" s="1" nd="1"/>
        <i x="2" s="1" nd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4">
        <i x="0" s="1"/>
        <i x="1" s="1"/>
        <i x="3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3">
        <i x="0" s="1"/>
        <i x="2" s="1" nd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6">
        <i x="1"/>
        <i x="3"/>
        <i x="0" s="1"/>
        <i x="2"/>
        <i x="4"/>
        <i x="5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1933848C-7C14-4A99-AA98-A2F3AF3C8E24}" sourceName="PERITO">
  <pivotTables>
    <pivotTable tabId="24" name="Tabela dinâmica1"/>
  </pivotTables>
  <data>
    <tabular pivotCacheId="1473054865">
      <items count="12">
        <i x="0" s="1"/>
        <i x="1" s="1"/>
        <i x="2" s="1"/>
        <i x="4" s="1"/>
        <i x="3" s="1"/>
        <i x="9" s="1" nd="1"/>
        <i x="6" s="1" nd="1"/>
        <i x="11" s="1" nd="1"/>
        <i x="8" s="1" nd="1"/>
        <i x="10" s="1" nd="1"/>
        <i x="7" s="1" nd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3B9C88B7-9C2F-4BF1-947F-6D016E46F695}" sourceName="SEGURADORA">
  <pivotTables>
    <pivotTable tabId="24" name="Tabela dinâmica1"/>
  </pivotTables>
  <data>
    <tabular pivotCacheId="1473054865">
      <items count="10">
        <i x="1" s="1"/>
        <i x="3" s="1"/>
        <i x="2" s="1"/>
        <i x="0" s="1"/>
        <i x="4" s="1"/>
        <i x="6" s="1" nd="1"/>
        <i x="9" s="1" nd="1"/>
        <i x="7" s="1" nd="1"/>
        <i x="8" s="1" nd="1"/>
        <i x="5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822AB367-9267-4DC9-8BBA-03DD0335B0D9}" sourceName="STATUS">
  <pivotTables>
    <pivotTable tabId="24" name="Tabela dinâmica1"/>
  </pivotTables>
  <data>
    <tabular pivotCacheId="1473054865">
      <items count="3">
        <i x="0" s="1"/>
        <i x="2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" xr10:uid="{BFD847B9-673D-4531-A6EA-DC963EF604B2}" cache="SegmentaçãodeDados_PERITO1" caption="PERITO" startItem="2" style="SlicerStyleLight6" rowHeight="241300"/>
  <slicer name="SEGURADORA" xr10:uid="{9BB4FB75-466A-46D2-85E1-065FBC5D0056}" cache="SegmentaçãodeDados_SEGURADORA1" caption="SEGURADORA" style="SlicerStyleLight6" rowHeight="241300"/>
  <slicer name="STATUS" xr10:uid="{F8CCFAA1-06B4-487A-8E6A-D28AF1486BB9}" cache="SegmentaçãodeDados_STATUS1" caption="STATUS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2" xr10:uid="{594FA557-00CF-4A46-936E-986E7A075C30}" cache="SegmentaçãodeDados_STATUS" caption="STATUS" style="SlicerStyleLight6" rowHeight="241300"/>
  <slicer name="SEGURADORA 2" xr10:uid="{8D98DA37-B242-4F0E-938A-A3774B1F39FA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7" totalsRowShown="0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28"/>
    <tableColumn id="1" xr3:uid="{77AE40CE-3180-4CA9-AF9A-E8E268E57070}" name="HONORÁRIO R$ " dataDxfId="27" dataCellStyle="Moeda"/>
    <tableColumn id="2" xr3:uid="{6F9E0BA6-9BFB-48EC-81A9-18A0C396E8C9}" name="VALOR KM R$" dataDxfId="26" dataCellStyle="Moeda"/>
    <tableColumn id="3" xr3:uid="{EFD808ED-DC52-4A8B-8292-EEE34A3916AF}" name="HOTEL" dataDxfId="25" dataCellStyle="Moeda"/>
    <tableColumn id="4" xr3:uid="{BFA1101A-73FE-46DC-B3F1-F20D674333D9}" name="REFEIÇÃO" dataDxfId="24" dataCellStyle="Moeda"/>
    <tableColumn id="5" xr3:uid="{2AB446A3-0EB9-4068-9FF5-68786833A420}" name="PEDÁGIO " dataDxfId="23" dataCellStyle="Moeda"/>
    <tableColumn id="6" xr3:uid="{7C7FA53D-199C-4600-B839-1C253EB0843B}" name="PASSAGEM ÁERA" dataDxfId="22" dataCellStyle="Moeda"/>
    <tableColumn id="7" xr3:uid="{5487AAEC-0686-4909-95E7-E3F065BAE407}" name="ALUGUEL CARRO " dataDxfId="21" dataCellStyle="Moeda"/>
    <tableColumn id="8" xr3:uid="{6E97A9B3-7F8F-4AD1-A51A-8D0518668E1F}" name="OUTROS " dataDxfId="20" dataCellStyle="Moeda"/>
    <tableColumn id="9" xr3:uid="{345BE897-50CE-4CAF-9542-ACF3BDCA9A38}" name=" TOTAL " dataDxfId="19" dataCellStyle="Moeda"/>
    <tableColumn id="10" xr3:uid="{C5ADE4FF-938E-41F2-9268-65D68FC97B10}" name="DT LANCAMENTO" dataDxfId="18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7" totalsRowShown="0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7"/>
    <tableColumn id="5" xr3:uid="{FC594FDD-E27C-412B-BCBC-53D7FF856FF3}" name=" HONORÁRIO R$ " dataDxfId="16" dataCellStyle="Moeda"/>
    <tableColumn id="6" xr3:uid="{CE20EE4A-66EF-49C9-8277-0F91D4EAE8A0}" name="VALOR KM R$" dataDxfId="15" dataCellStyle="Moeda"/>
    <tableColumn id="7" xr3:uid="{5DDDE08F-D634-4BC9-9259-00A68BBAA7A0}" name="HOTEL" dataDxfId="14" dataCellStyle="Moeda"/>
    <tableColumn id="8" xr3:uid="{3303D9EF-E342-45CF-8457-EB7BFC724009}" name="REFEIÇÃO" dataDxfId="13" dataCellStyle="Moeda"/>
    <tableColumn id="9" xr3:uid="{C7166C86-DE25-480F-BF56-18061E37717C}" name=" PEDÁGIO " dataDxfId="12" dataCellStyle="Moeda"/>
    <tableColumn id="10" xr3:uid="{79AD7756-F982-40B3-A840-1D887EDE4D08}" name="PASSAGEM ÁERA" dataDxfId="11" dataCellStyle="Moeda"/>
    <tableColumn id="11" xr3:uid="{763DF7A8-12FD-414C-A335-DD672F61971C}" name="ALUGUEL CARRO" dataDxfId="10" dataCellStyle="Moeda"/>
    <tableColumn id="12" xr3:uid="{D92A590C-1934-4CF3-9A88-FDA9781B8EC9}" name="OUTROS " dataDxfId="9" dataCellStyle="Moeda"/>
    <tableColumn id="13" xr3:uid="{3ED0E5F1-62E9-4527-B42C-2B2CF57B6AD4}" name=" TOTAL " dataDxfId="8" dataCellStyle="Moeda"/>
    <tableColumn id="14" xr3:uid="{2EB34EF3-4C41-4099-9921-DB8E920647FC}" name="DT LANCAMENTO" dataDxfId="7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J4" totalsRowShown="0">
  <tableColumns count="36">
    <tableColumn id="1" xr3:uid="{4CEAFE11-4BD7-40FD-A919-BB52A3784B3A}" name="DT RECEBIMENTO" dataDxfId="71"/>
    <tableColumn id="2" xr3:uid="{8D491FBA-8D6E-4D68-9169-C6C807F705B7}" name="NF"/>
    <tableColumn id="3" xr3:uid="{894BE3F1-C62B-4DDF-B040-E03CA1F61E2E}" name="DT VISTORIA " dataDxfId="70"/>
    <tableColumn id="4" xr3:uid="{3A5AA30B-7316-4054-B0A5-D3050BE0A17C}" name="DT REVISTORIA" dataDxfId="69"/>
    <tableColumn id="5" xr3:uid="{5762346C-BDE6-44E8-817C-91E54D27767E}" name="APÓLICE "/>
    <tableColumn id="24" xr3:uid="{A430FF16-32B9-4825-820C-70015B1C820E}" name="SINISTRO" dataDxfId="68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7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66" dataCellStyle="Moeda"/>
    <tableColumn id="14" xr3:uid="{78FF7EDB-582E-42FD-9799-DD4D37C1C0BE}" name="HOTEL " dataDxfId="65" dataCellStyle="Moeda"/>
    <tableColumn id="15" xr3:uid="{B33CE678-346F-49DF-BDA4-44C123CB1EF8}" name="REFEIÇÃO " dataDxfId="64" dataCellStyle="Moeda"/>
    <tableColumn id="16" xr3:uid="{7E3D7E2A-6E12-4FB3-9C91-02FE40C27F4D}" name="PASSAGEM ÁERA" dataDxfId="63" dataCellStyle="Moeda"/>
    <tableColumn id="17" xr3:uid="{AFEBA063-285D-4E1F-BD7C-E0BB8AA9BFC3}" name="ALUGUEL CARRO " dataDxfId="62" dataCellStyle="Moeda"/>
    <tableColumn id="18" xr3:uid="{80376310-22C8-4669-BBCC-9445A8931644}" name="OUTROS " dataDxfId="61" dataCellStyle="Moeda"/>
    <tableColumn id="25" xr3:uid="{4338F209-0C34-4043-B3EF-73F4C9A9DD65}" name="TOTAL  " dataDxfId="60" dataCellStyle="Moeda"/>
    <tableColumn id="29" xr3:uid="{E0CE4C5D-9BCC-47F6-A2E2-F49599CE0090}" name="SEGURADORA" dataDxfId="6" dataCellStyle="Moeda"/>
    <tableColumn id="33" xr3:uid="{F8322728-BB10-40FA-8AB8-DAF0301387D8}" name="STATUS SEGURADORA" dataDxfId="59" dataCellStyle="Moeda"/>
    <tableColumn id="32" xr3:uid="{3C189627-5587-4747-A956-BF68E01F2C6F}" name="STATUS PERITO" dataDxfId="58" dataCellStyle="Moeda"/>
    <tableColumn id="35" xr3:uid="{6770BC5D-821D-4022-9E02-51C0CF6AF282}" name="TIPO DO BEM" dataDxfId="57" dataCellStyle="Moeda"/>
    <tableColumn id="34" xr3:uid="{1C80A2A2-BE52-4BB6-8774-903C65676CB5}" name="DT LANÇAMENTO " dataDxfId="56" dataCellStyle="Moeda"/>
    <tableColumn id="28" xr3:uid="{E07BC76D-0CFE-49DF-8CA9-85BBECE75005}" name="KM RODADO EMPRESA" dataDxfId="55" dataCellStyle="Moeda"/>
    <tableColumn id="30" xr3:uid="{30F79F53-5CD6-4EB9-94EF-A05E8F2343B6}" name="KM R$ EMPR" dataDxfId="54" dataCellStyle="Moeda"/>
    <tableColumn id="31" xr3:uid="{2380923C-36D4-4A7F-A0F6-18D6CC83AF87}" name="DT AGENDAMENTO" dataDxfId="53" dataCellStyle="Moeda"/>
    <tableColumn id="36" xr3:uid="{440922AD-B26B-45F7-845A-22AE6BCB39F0}" name="HONORARIO EMPRESA" dataDxfId="52" dataCellStyle="Moeda"/>
    <tableColumn id="19" xr3:uid="{6606E2F6-6FBE-42AD-B08C-73D5D56070BC}" name="TOTAL EMPRESA" dataDxfId="51" dataCellStyle="Moeda"/>
    <tableColumn id="20" xr3:uid="{11BA40E0-957A-4794-828F-30F9B20B83E4}" name="KM R$ EMPR2"/>
    <tableColumn id="27" xr3:uid="{B45D1A5B-3BB4-407A-A498-4AA20B08769B}" name="PAGTO PERITO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5" totalsRowShown="0">
  <tableColumns count="33">
    <tableColumn id="1" xr3:uid="{01FEB0E5-52BE-4347-BF57-CD16D27B937B}" name="DT RECEBIMENTO" dataDxfId="49"/>
    <tableColumn id="2" xr3:uid="{42D256E5-7905-43C7-B146-BAE1FF4F13EA}" name="DT VISTORIA" dataDxfId="48"/>
    <tableColumn id="3" xr3:uid="{BCCE59B5-8188-4C7C-95C2-715E226A28AA}" name="DT ENTREGA " dataDxfId="47"/>
    <tableColumn id="4" xr3:uid="{DD2FFDF0-7DCD-40B2-BE5B-713ED98D0855}" name="NF" dataDxfId="46"/>
    <tableColumn id="5" xr3:uid="{71C6BD3C-6436-486E-BD85-7935791CB966}" name="SINISTRO" dataDxfId="45"/>
    <tableColumn id="6" xr3:uid="{D289DEB5-E97A-4D43-B4F7-902CC070659C}" name="APÓLICE" dataDxfId="44"/>
    <tableColumn id="7" xr3:uid="{06DE9BC2-A40D-4D00-BB45-8E4F7789BE84}" name="PROPOSTA" dataDxfId="43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42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41"/>
    <tableColumn id="17" xr3:uid="{EE10B1C6-6DEE-4AD7-9D78-EC246389C2FB}" name="AREA VISTORIADA" dataDxfId="40"/>
    <tableColumn id="18" xr3:uid="{5ABE2B95-8B65-4067-B07B-961E86DF955C}" name="SEGURADORA" dataDxfId="1"/>
    <tableColumn id="19" xr3:uid="{D6D440C8-50F6-4EC7-BDE9-2DF3AA5771DF}" name="HONORÁRIO R$ " dataDxfId="39" dataCellStyle="Moeda"/>
    <tableColumn id="20" xr3:uid="{4AD21308-937E-4761-BA5D-93DFD5876314}" name="KM RODADO PERITO"/>
    <tableColumn id="21" xr3:uid="{81790E5F-9A10-4C4F-A097-2651C71B4AB6}" name="VALOR KM R$" dataDxfId="38" dataCellStyle="Moeda"/>
    <tableColumn id="22" xr3:uid="{D7762BF3-0B74-4974-8BBE-59556FD6DA92}" name="KM RODADO EMPRESA"/>
    <tableColumn id="23" xr3:uid="{57C0BB09-FF91-456C-B393-28ABAD52D8D9}" name="KM R$ EMPR" dataDxfId="37" dataCellStyle="Moeda"/>
    <tableColumn id="24" xr3:uid="{9C301590-1AAD-4F79-B66A-A6728FFFD7FC}" name="HOTEL" dataDxfId="36" dataCellStyle="Moeda"/>
    <tableColumn id="25" xr3:uid="{0B99CFC5-E242-496D-9958-804F0D1B521E}" name="REFEIÇÃO" dataDxfId="35" dataCellStyle="Moeda"/>
    <tableColumn id="26" xr3:uid="{2F92F6FA-422E-4D4B-BB4E-BA386F7AF1C0}" name="OUTROS " dataDxfId="34" dataCellStyle="Moeda"/>
    <tableColumn id="27" xr3:uid="{84553A7A-42D0-4471-AD1E-1A3BF4FEB1AD}" name="TOTAL " dataDxfId="33" dataCellStyle="Moeda"/>
    <tableColumn id="28" xr3:uid="{ED67970F-F0E5-46C6-98D9-1A7C91354E1F}" name="DT LANÇAMENTO " dataDxfId="32"/>
    <tableColumn id="30" xr3:uid="{E0E6AE81-E915-44EC-9FD2-4A51D8BDBF5F}" name="STATUS SEGURADORA" dataDxfId="31"/>
    <tableColumn id="31" xr3:uid="{59C15FF4-94BE-4937-A73B-D88AD2E6EEAE}" name="STATUS PERITO" dataDxfId="30"/>
    <tableColumn id="29" xr3:uid="{9ADDC96C-C7C9-4998-B013-EAD28F652506}" name="DT AGENDAMENTO"/>
    <tableColumn id="32" xr3:uid="{568C3FE9-4939-413F-A6FC-4C8FB185C602}" name="HONORARIO EMPRESA"/>
    <tableColumn id="33" xr3:uid="{4CC820E2-94A2-41FC-A3CB-5A037A8EC99E}" name="TOTAL EMPRES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2"/>
    <tableColumn id="3" xr3:uid="{0354E08F-99E4-4602-A856-87F2606D5542}" name="ENDEREÇO"/>
    <tableColumn id="4" xr3:uid="{791EB34D-33AD-4D81-9993-B97ED301BA3B}" name="KM R$" dataDxfId="5" dataCellStyle="Moeda"/>
    <tableColumn id="5" xr3:uid="{605420F8-6CFD-43FC-98CD-F68974D03019}" name="REFEIÇÃO R$" dataDxfId="4" dataCellStyle="Moeda"/>
    <tableColumn id="6" xr3:uid="{E406B1A8-FE43-4F46-B098-C8F386E557B1}" name="HOSPEDAGEM R$" dataDxfId="3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29">
  <autoFilter ref="A1:E25" xr:uid="{2EFAC822-781E-49A7-9E37-807F9A11773B}"/>
  <tableColumns count="5">
    <tableColumn id="1" xr3:uid="{37F6DF33-7318-454A-B809-8D15C227E196}" name="NOME" dataDxfId="0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" xr10:uid="{927E7800-9FA6-4955-8B5D-8B794CE7F999}" sourceName="DT LANCAMENTO">
  <pivotTables>
    <pivotTable tabId="24" name="Tabela dinâmica1"/>
  </pivotTables>
  <state minimalRefreshVersion="6" lastRefreshVersion="6" pivotCacheId="1473054865" filterType="unknown">
    <bounds startDate="2021-01-01T00:00:00" endDate="2022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1" xr10:uid="{FEFC401B-CE43-4E17-BB51-9F0B9A8D4399}" sourceName="DT LANCAMENTO">
  <pivotTables>
    <pivotTable tabId="23" name="Tabela dinâmica2"/>
  </pivotTables>
  <state minimalRefreshVersion="6" lastRefreshVersion="6" pivotCacheId="277365764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" xr10:uid="{29BA8432-2ABD-480D-A915-041E05834BCF}" cache="NativeTimeline_DT_LANCAMENTO" caption="DT LANCAMENTO" level="2" selectionLevel="2" scrollPosition="2021-05-19T00:00:00" style="TimeSlicerStyleLight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 1" xr10:uid="{6D351135-3158-47A7-98EF-3EE5482A53FD}" cache="NativeTimeline_DT_LANCAMENTO1" caption="DT LANCAMENTO" level="2" selectionLevel="2" scrollPosition="2021-05-19T00:00:00" style="TimeSlicerStyleLight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tabSelected="1" workbookViewId="0">
      <selection activeCell="U3" sqref="U3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9"/>
  <sheetViews>
    <sheetView showGridLines="0" zoomScaleNormal="100" workbookViewId="0">
      <selection activeCell="J7" sqref="J7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50" t="s">
        <v>150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17"/>
      <c r="P2" s="17"/>
      <c r="Q2" s="17"/>
      <c r="R2" s="17"/>
    </row>
    <row r="4" spans="1:18" ht="21" x14ac:dyDescent="0.35">
      <c r="A4" s="51" t="s">
        <v>115</v>
      </c>
      <c r="B4" s="51"/>
      <c r="C4" s="51"/>
      <c r="D4" s="51"/>
      <c r="E4" s="51"/>
      <c r="F4" s="51"/>
      <c r="G4" s="51"/>
      <c r="I4" s="51" t="s">
        <v>151</v>
      </c>
      <c r="J4" s="51"/>
      <c r="K4" s="51"/>
      <c r="L4" s="51"/>
      <c r="M4" s="51"/>
      <c r="N4" s="51"/>
      <c r="O4" s="51"/>
    </row>
    <row r="6" spans="1:18" x14ac:dyDescent="0.25">
      <c r="A6" s="32" t="s">
        <v>87</v>
      </c>
      <c r="B6" s="32" t="s">
        <v>53</v>
      </c>
      <c r="C6" s="32" t="s">
        <v>47</v>
      </c>
      <c r="D6" s="32" t="s">
        <v>48</v>
      </c>
      <c r="E6" s="32" t="s">
        <v>49</v>
      </c>
      <c r="F6" s="32" t="s">
        <v>45</v>
      </c>
      <c r="G6" s="32" t="s">
        <v>152</v>
      </c>
      <c r="I6" s="32" t="s">
        <v>87</v>
      </c>
      <c r="J6" s="32" t="s">
        <v>53</v>
      </c>
      <c r="K6" s="32" t="s">
        <v>47</v>
      </c>
      <c r="L6" s="32" t="s">
        <v>48</v>
      </c>
      <c r="M6" s="32" t="s">
        <v>49</v>
      </c>
      <c r="N6" s="32" t="s">
        <v>90</v>
      </c>
      <c r="O6" s="32" t="s">
        <v>152</v>
      </c>
    </row>
    <row r="7" spans="1:18" x14ac:dyDescent="0.25">
      <c r="A7" s="1">
        <v>44228</v>
      </c>
      <c r="B7" s="5">
        <v>12587</v>
      </c>
      <c r="C7" s="47" t="s">
        <v>326</v>
      </c>
      <c r="D7" s="47" t="s">
        <v>28</v>
      </c>
      <c r="E7" s="47" t="s">
        <v>16</v>
      </c>
      <c r="F7" s="47" t="s">
        <v>121</v>
      </c>
      <c r="G7" s="1">
        <v>44256</v>
      </c>
    </row>
    <row r="8" spans="1:18" x14ac:dyDescent="0.25">
      <c r="A8" s="1">
        <v>44237</v>
      </c>
      <c r="B8" s="5">
        <v>12258</v>
      </c>
      <c r="C8" s="47" t="s">
        <v>328</v>
      </c>
      <c r="D8" s="47" t="s">
        <v>29</v>
      </c>
      <c r="E8" s="47" t="s">
        <v>16</v>
      </c>
      <c r="F8" s="47" t="s">
        <v>121</v>
      </c>
      <c r="G8" s="1">
        <v>44242</v>
      </c>
    </row>
    <row r="9" spans="1:18" x14ac:dyDescent="0.25">
      <c r="A9" s="1">
        <v>44247</v>
      </c>
      <c r="B9" s="5">
        <v>2</v>
      </c>
      <c r="C9" s="47" t="s">
        <v>297</v>
      </c>
      <c r="D9" s="47" t="s">
        <v>28</v>
      </c>
      <c r="E9" s="47" t="s">
        <v>16</v>
      </c>
      <c r="F9" s="47" t="s">
        <v>302</v>
      </c>
      <c r="G9" s="1">
        <v>44250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9"/>
  <sheetViews>
    <sheetView topLeftCell="J1" workbookViewId="0">
      <selection activeCell="R2" sqref="R2:R7"/>
    </sheetView>
  </sheetViews>
  <sheetFormatPr defaultRowHeight="15" x14ac:dyDescent="0.25"/>
  <cols>
    <col min="1" max="3" width="16.42578125" customWidth="1"/>
    <col min="4" max="4" width="16.42578125" style="1" customWidth="1"/>
    <col min="5" max="5" width="19.140625" style="10" customWidth="1"/>
    <col min="6" max="6" width="16.5703125" style="10" customWidth="1"/>
    <col min="7" max="9" width="16.42578125" style="10" customWidth="1"/>
    <col min="10" max="10" width="19.7109375" style="10" customWidth="1"/>
    <col min="11" max="11" width="20.28515625" style="10" customWidth="1"/>
    <col min="12" max="13" width="16.42578125" style="10" customWidth="1"/>
    <col min="14" max="17" width="20" customWidth="1"/>
    <col min="18" max="18" width="16.42578125" customWidth="1"/>
  </cols>
  <sheetData>
    <row r="1" spans="1:18" x14ac:dyDescent="0.25">
      <c r="A1" t="s">
        <v>111</v>
      </c>
      <c r="B1" t="s">
        <v>53</v>
      </c>
      <c r="C1" t="s">
        <v>114</v>
      </c>
      <c r="D1" t="s">
        <v>90</v>
      </c>
      <c r="E1" t="s">
        <v>123</v>
      </c>
      <c r="F1" t="s">
        <v>64</v>
      </c>
      <c r="G1" t="s">
        <v>67</v>
      </c>
      <c r="H1" t="s">
        <v>68</v>
      </c>
      <c r="I1" t="s">
        <v>124</v>
      </c>
      <c r="J1" t="s">
        <v>102</v>
      </c>
      <c r="K1" t="s">
        <v>122</v>
      </c>
      <c r="L1" t="s">
        <v>69</v>
      </c>
      <c r="M1" t="s">
        <v>70</v>
      </c>
      <c r="N1" t="s">
        <v>112</v>
      </c>
      <c r="O1" t="s">
        <v>113</v>
      </c>
      <c r="P1" t="s">
        <v>103</v>
      </c>
      <c r="Q1" t="s">
        <v>116</v>
      </c>
      <c r="R1" t="s">
        <v>88</v>
      </c>
    </row>
    <row r="2" spans="1:18" x14ac:dyDescent="0.25">
      <c r="A2" t="s">
        <v>153</v>
      </c>
      <c r="B2">
        <v>1</v>
      </c>
      <c r="D2" s="1" t="s">
        <v>295</v>
      </c>
      <c r="E2" s="21">
        <v>151</v>
      </c>
      <c r="F2" s="21">
        <v>13</v>
      </c>
      <c r="G2" s="21">
        <v>10</v>
      </c>
      <c r="H2" s="21">
        <v>10</v>
      </c>
      <c r="L2" s="21">
        <v>10</v>
      </c>
      <c r="M2" s="21">
        <v>194</v>
      </c>
      <c r="N2" s="1">
        <v>44253</v>
      </c>
      <c r="O2" t="s">
        <v>125</v>
      </c>
      <c r="P2" t="s">
        <v>104</v>
      </c>
      <c r="R2" t="s">
        <v>293</v>
      </c>
    </row>
    <row r="3" spans="1:18" x14ac:dyDescent="0.25">
      <c r="A3" t="s">
        <v>154</v>
      </c>
      <c r="B3">
        <v>2</v>
      </c>
      <c r="D3" s="1" t="s">
        <v>302</v>
      </c>
      <c r="E3" s="21">
        <v>150</v>
      </c>
      <c r="F3" s="21">
        <v>1</v>
      </c>
      <c r="G3" s="21">
        <v>1</v>
      </c>
      <c r="H3" s="21">
        <v>1</v>
      </c>
      <c r="I3" s="21">
        <v>1</v>
      </c>
      <c r="J3" s="21">
        <v>1</v>
      </c>
      <c r="K3" s="21">
        <v>1</v>
      </c>
      <c r="L3" s="21">
        <v>1</v>
      </c>
      <c r="M3" s="21">
        <v>157</v>
      </c>
      <c r="N3" s="1">
        <v>44253</v>
      </c>
      <c r="O3" t="s">
        <v>115</v>
      </c>
      <c r="P3" t="s">
        <v>104</v>
      </c>
      <c r="R3" t="s">
        <v>307</v>
      </c>
    </row>
    <row r="4" spans="1:18" x14ac:dyDescent="0.25">
      <c r="A4" t="s">
        <v>155</v>
      </c>
      <c r="B4">
        <v>5</v>
      </c>
      <c r="D4" s="1" t="s">
        <v>321</v>
      </c>
      <c r="E4" s="21">
        <v>158</v>
      </c>
      <c r="F4" s="21">
        <v>195</v>
      </c>
      <c r="G4" s="21">
        <v>50</v>
      </c>
      <c r="H4" s="21">
        <v>35</v>
      </c>
      <c r="L4" s="21">
        <v>0</v>
      </c>
      <c r="M4" s="21">
        <v>438</v>
      </c>
      <c r="N4" s="1">
        <v>44254</v>
      </c>
      <c r="O4" t="s">
        <v>125</v>
      </c>
      <c r="P4" t="s">
        <v>104</v>
      </c>
      <c r="R4" t="s">
        <v>304</v>
      </c>
    </row>
    <row r="5" spans="1:18" x14ac:dyDescent="0.25">
      <c r="A5" t="s">
        <v>155</v>
      </c>
      <c r="B5">
        <v>158</v>
      </c>
      <c r="D5" s="1">
        <v>44257</v>
      </c>
      <c r="E5" s="21">
        <v>141</v>
      </c>
      <c r="F5" s="21">
        <v>0</v>
      </c>
      <c r="G5" s="21">
        <v>0</v>
      </c>
      <c r="H5" s="21">
        <v>0</v>
      </c>
      <c r="L5" s="21">
        <v>0</v>
      </c>
      <c r="M5" s="21">
        <v>141</v>
      </c>
      <c r="N5" s="1">
        <v>44254</v>
      </c>
      <c r="O5" t="s">
        <v>125</v>
      </c>
      <c r="P5" t="s">
        <v>104</v>
      </c>
      <c r="R5" t="s">
        <v>307</v>
      </c>
    </row>
    <row r="6" spans="1:18" x14ac:dyDescent="0.25">
      <c r="A6" t="s">
        <v>170</v>
      </c>
      <c r="B6">
        <v>12587</v>
      </c>
      <c r="D6" s="1">
        <v>44257</v>
      </c>
      <c r="E6" s="21">
        <v>122</v>
      </c>
      <c r="F6" s="21">
        <v>0</v>
      </c>
      <c r="G6" s="21">
        <v>0</v>
      </c>
      <c r="H6" s="21">
        <v>0</v>
      </c>
      <c r="I6" s="21">
        <v>0</v>
      </c>
      <c r="J6" s="21">
        <v>10</v>
      </c>
      <c r="K6" s="21">
        <v>10</v>
      </c>
      <c r="L6" s="21">
        <v>10</v>
      </c>
      <c r="M6" s="21">
        <v>152</v>
      </c>
      <c r="N6" s="1">
        <v>44254</v>
      </c>
      <c r="O6" t="s">
        <v>115</v>
      </c>
      <c r="P6" t="s">
        <v>104</v>
      </c>
      <c r="R6" t="s">
        <v>308</v>
      </c>
    </row>
    <row r="7" spans="1:18" x14ac:dyDescent="0.25">
      <c r="A7" t="s">
        <v>157</v>
      </c>
      <c r="B7">
        <v>12258</v>
      </c>
      <c r="D7" s="1">
        <v>44318</v>
      </c>
      <c r="E7" s="21">
        <v>170</v>
      </c>
      <c r="F7" s="21">
        <v>15</v>
      </c>
      <c r="G7" s="21">
        <v>0</v>
      </c>
      <c r="H7" s="21">
        <v>25</v>
      </c>
      <c r="I7" s="21">
        <v>10</v>
      </c>
      <c r="J7" s="21">
        <v>10</v>
      </c>
      <c r="K7" s="21">
        <v>10</v>
      </c>
      <c r="L7" s="21">
        <v>0</v>
      </c>
      <c r="M7" s="21">
        <v>240</v>
      </c>
      <c r="N7" s="1">
        <v>44254</v>
      </c>
      <c r="O7" t="s">
        <v>115</v>
      </c>
      <c r="P7" t="s">
        <v>104</v>
      </c>
      <c r="R7" t="s">
        <v>314</v>
      </c>
    </row>
    <row r="9" spans="1:18" x14ac:dyDescent="0.25">
      <c r="A9">
        <v>1</v>
      </c>
      <c r="B9">
        <v>2</v>
      </c>
      <c r="C9">
        <v>3</v>
      </c>
      <c r="D9" s="47">
        <v>4</v>
      </c>
      <c r="E9" s="47">
        <v>5</v>
      </c>
      <c r="F9" s="47">
        <v>6</v>
      </c>
      <c r="G9" s="47">
        <v>7</v>
      </c>
      <c r="H9" s="47">
        <v>8</v>
      </c>
      <c r="I9" s="47">
        <v>9</v>
      </c>
      <c r="J9" s="47">
        <v>10</v>
      </c>
      <c r="K9" s="47">
        <v>11</v>
      </c>
      <c r="L9" s="47">
        <v>12</v>
      </c>
      <c r="M9" s="47">
        <v>13</v>
      </c>
      <c r="N9" s="47">
        <v>14</v>
      </c>
      <c r="O9" s="47">
        <v>15</v>
      </c>
      <c r="P9" s="47">
        <v>16</v>
      </c>
      <c r="Q9" s="47">
        <v>17</v>
      </c>
      <c r="R9" s="47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10"/>
  <sheetViews>
    <sheetView topLeftCell="N1" workbookViewId="0">
      <selection activeCell="R8" sqref="R8"/>
    </sheetView>
  </sheetViews>
  <sheetFormatPr defaultRowHeight="15" x14ac:dyDescent="0.25"/>
  <cols>
    <col min="1" max="3" width="22.7109375" customWidth="1"/>
    <col min="4" max="4" width="22.7109375" style="40" customWidth="1"/>
    <col min="5" max="13" width="22.7109375" style="10" customWidth="1"/>
    <col min="14" max="18" width="22.7109375" customWidth="1"/>
  </cols>
  <sheetData>
    <row r="1" spans="1:18" x14ac:dyDescent="0.25">
      <c r="A1" t="s">
        <v>111</v>
      </c>
      <c r="B1" t="s">
        <v>53</v>
      </c>
      <c r="C1" t="s">
        <v>114</v>
      </c>
      <c r="D1" t="s">
        <v>90</v>
      </c>
      <c r="E1" t="s">
        <v>62</v>
      </c>
      <c r="F1" t="s">
        <v>64</v>
      </c>
      <c r="G1" t="s">
        <v>67</v>
      </c>
      <c r="H1" t="s">
        <v>68</v>
      </c>
      <c r="I1" t="s">
        <v>52</v>
      </c>
      <c r="J1" t="s">
        <v>102</v>
      </c>
      <c r="K1" t="s">
        <v>127</v>
      </c>
      <c r="L1" t="s">
        <v>69</v>
      </c>
      <c r="M1" t="s">
        <v>70</v>
      </c>
      <c r="N1" t="s">
        <v>112</v>
      </c>
      <c r="O1" t="s">
        <v>113</v>
      </c>
      <c r="P1" t="s">
        <v>103</v>
      </c>
      <c r="Q1" t="s">
        <v>87</v>
      </c>
      <c r="R1" t="s">
        <v>88</v>
      </c>
    </row>
    <row r="2" spans="1:18" s="47" customFormat="1" x14ac:dyDescent="0.25">
      <c r="A2" s="47" t="s">
        <v>154</v>
      </c>
      <c r="B2" s="47">
        <v>2</v>
      </c>
      <c r="D2" s="40" t="s">
        <v>302</v>
      </c>
      <c r="E2" s="21">
        <v>300</v>
      </c>
      <c r="F2" s="21">
        <v>1</v>
      </c>
      <c r="G2" s="21">
        <v>1</v>
      </c>
      <c r="H2" s="21">
        <v>1</v>
      </c>
      <c r="I2" s="21">
        <v>1</v>
      </c>
      <c r="J2" s="21">
        <v>1</v>
      </c>
      <c r="K2" s="21">
        <v>1</v>
      </c>
      <c r="L2" s="21">
        <v>1</v>
      </c>
      <c r="M2" s="21">
        <v>309</v>
      </c>
      <c r="N2" s="1">
        <v>44253</v>
      </c>
      <c r="O2" s="47" t="s">
        <v>115</v>
      </c>
      <c r="P2" s="47" t="s">
        <v>104</v>
      </c>
      <c r="R2" s="47" t="s">
        <v>304</v>
      </c>
    </row>
    <row r="3" spans="1:18" x14ac:dyDescent="0.25">
      <c r="A3" t="s">
        <v>155</v>
      </c>
      <c r="B3">
        <v>5</v>
      </c>
      <c r="D3" s="40" t="s">
        <v>321</v>
      </c>
      <c r="E3" s="21">
        <v>320</v>
      </c>
      <c r="F3" s="21">
        <v>195</v>
      </c>
      <c r="G3" s="21">
        <v>50</v>
      </c>
      <c r="H3" s="21">
        <v>35</v>
      </c>
      <c r="I3" s="21"/>
      <c r="J3" s="21"/>
      <c r="K3" s="21"/>
      <c r="L3" s="21">
        <v>0</v>
      </c>
      <c r="M3" s="21">
        <v>613</v>
      </c>
      <c r="N3" s="1">
        <v>44254</v>
      </c>
      <c r="O3" t="s">
        <v>125</v>
      </c>
      <c r="P3" t="s">
        <v>104</v>
      </c>
      <c r="R3" s="47" t="s">
        <v>307</v>
      </c>
    </row>
    <row r="4" spans="1:18" x14ac:dyDescent="0.25">
      <c r="A4" t="s">
        <v>155</v>
      </c>
      <c r="B4">
        <v>158</v>
      </c>
      <c r="D4" s="8">
        <v>44257</v>
      </c>
      <c r="E4" s="21">
        <v>350</v>
      </c>
      <c r="F4" s="21">
        <v>0</v>
      </c>
      <c r="G4" s="21">
        <v>0</v>
      </c>
      <c r="H4" s="21">
        <v>0</v>
      </c>
      <c r="I4" s="21"/>
      <c r="J4" s="21"/>
      <c r="K4" s="21"/>
      <c r="L4" s="21">
        <v>0</v>
      </c>
      <c r="M4" s="21">
        <v>350</v>
      </c>
      <c r="N4" s="1">
        <v>44254</v>
      </c>
      <c r="O4" t="s">
        <v>125</v>
      </c>
      <c r="P4" t="s">
        <v>104</v>
      </c>
      <c r="R4" s="47" t="s">
        <v>304</v>
      </c>
    </row>
    <row r="5" spans="1:18" x14ac:dyDescent="0.25">
      <c r="A5" t="s">
        <v>170</v>
      </c>
      <c r="B5">
        <v>12587</v>
      </c>
      <c r="D5" s="8">
        <v>44257</v>
      </c>
      <c r="E5" s="21">
        <v>322</v>
      </c>
      <c r="F5" s="21">
        <v>0</v>
      </c>
      <c r="G5" s="21">
        <v>0</v>
      </c>
      <c r="H5" s="21">
        <v>0</v>
      </c>
      <c r="I5" s="21">
        <v>0</v>
      </c>
      <c r="J5" s="21">
        <v>10</v>
      </c>
      <c r="K5" s="21">
        <v>10</v>
      </c>
      <c r="L5" s="21">
        <v>10</v>
      </c>
      <c r="M5" s="21">
        <v>362</v>
      </c>
      <c r="N5" s="1">
        <v>44254</v>
      </c>
      <c r="O5" t="s">
        <v>115</v>
      </c>
      <c r="P5" t="s">
        <v>104</v>
      </c>
      <c r="R5" s="47" t="s">
        <v>314</v>
      </c>
    </row>
    <row r="6" spans="1:18" x14ac:dyDescent="0.25">
      <c r="A6" t="s">
        <v>157</v>
      </c>
      <c r="B6">
        <v>12258</v>
      </c>
      <c r="D6" s="8">
        <v>44318</v>
      </c>
      <c r="E6" s="21">
        <v>400</v>
      </c>
      <c r="F6" s="21">
        <v>15</v>
      </c>
      <c r="G6" s="21">
        <v>0</v>
      </c>
      <c r="H6" s="21">
        <v>25</v>
      </c>
      <c r="I6" s="21">
        <v>10</v>
      </c>
      <c r="J6" s="21">
        <v>10</v>
      </c>
      <c r="K6" s="21">
        <v>10</v>
      </c>
      <c r="L6" s="21">
        <v>0</v>
      </c>
      <c r="M6" s="21">
        <v>492.5</v>
      </c>
      <c r="N6" s="1">
        <v>44254</v>
      </c>
      <c r="O6" t="s">
        <v>115</v>
      </c>
      <c r="P6" t="s">
        <v>104</v>
      </c>
      <c r="R6" s="47" t="s">
        <v>308</v>
      </c>
    </row>
    <row r="7" spans="1:18" x14ac:dyDescent="0.25">
      <c r="E7" s="21"/>
      <c r="F7" s="21"/>
      <c r="G7" s="21"/>
      <c r="H7" s="21"/>
      <c r="I7" s="21"/>
      <c r="J7" s="21"/>
      <c r="K7" s="21"/>
      <c r="L7" s="21"/>
      <c r="M7" s="21"/>
      <c r="N7" s="1"/>
    </row>
    <row r="10" spans="1:18" x14ac:dyDescent="0.25"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L5"/>
  <sheetViews>
    <sheetView topLeftCell="E1" workbookViewId="0">
      <selection activeCell="O4" sqref="O4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5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0" bestFit="1" customWidth="1"/>
    <col min="13" max="13" width="9.85546875" bestFit="1" customWidth="1"/>
    <col min="14" max="14" width="12.5703125" bestFit="1" customWidth="1"/>
    <col min="15" max="15" width="16" style="10" bestFit="1" customWidth="1"/>
    <col min="16" max="16" width="13.42578125" style="10" bestFit="1" customWidth="1"/>
    <col min="17" max="17" width="16.42578125" style="10" bestFit="1" customWidth="1"/>
    <col min="18" max="18" width="22.42578125" style="10" bestFit="1" customWidth="1"/>
    <col min="19" max="19" width="23" style="10" bestFit="1" customWidth="1"/>
    <col min="20" max="20" width="15.28515625" style="10" bestFit="1" customWidth="1"/>
    <col min="21" max="22" width="15.28515625" style="10" customWidth="1"/>
    <col min="23" max="23" width="22" style="10" customWidth="1"/>
    <col min="24" max="29" width="15.28515625" style="10" customWidth="1"/>
    <col min="30" max="30" width="22.42578125" style="10" customWidth="1"/>
    <col min="31" max="31" width="21.5703125" style="10" bestFit="1" customWidth="1"/>
    <col min="32" max="32" width="22.140625" hidden="1" customWidth="1"/>
    <col min="33" max="33" width="14.140625" hidden="1" customWidth="1"/>
    <col min="34" max="34" width="20.42578125" hidden="1" customWidth="1"/>
    <col min="35" max="35" width="13.85546875" hidden="1" customWidth="1"/>
    <col min="36" max="36" width="16.5703125" style="8" hidden="1" customWidth="1"/>
    <col min="37" max="38" width="16.5703125" hidden="1" customWidth="1"/>
    <col min="39" max="16384" width="9.140625" hidden="1"/>
  </cols>
  <sheetData>
    <row r="1" spans="1:36" s="3" customFormat="1" ht="30" customHeight="1" x14ac:dyDescent="0.25">
      <c r="A1" t="s">
        <v>87</v>
      </c>
      <c r="B1" t="s">
        <v>44</v>
      </c>
      <c r="C1" t="s">
        <v>45</v>
      </c>
      <c r="D1" t="s">
        <v>92</v>
      </c>
      <c r="E1" t="s">
        <v>46</v>
      </c>
      <c r="F1" t="s">
        <v>53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144</v>
      </c>
      <c r="M1" t="s">
        <v>145</v>
      </c>
      <c r="N1" t="s">
        <v>83</v>
      </c>
      <c r="O1" t="s">
        <v>124</v>
      </c>
      <c r="P1" t="s">
        <v>146</v>
      </c>
      <c r="Q1" t="s">
        <v>147</v>
      </c>
      <c r="R1" t="s">
        <v>102</v>
      </c>
      <c r="S1" t="s">
        <v>122</v>
      </c>
      <c r="T1" t="s">
        <v>69</v>
      </c>
      <c r="U1" t="s">
        <v>149</v>
      </c>
      <c r="V1" t="s">
        <v>88</v>
      </c>
      <c r="W1" t="s">
        <v>109</v>
      </c>
      <c r="X1" t="s">
        <v>110</v>
      </c>
      <c r="Y1" t="s">
        <v>143</v>
      </c>
      <c r="Z1" t="s">
        <v>100</v>
      </c>
      <c r="AA1" t="s">
        <v>65</v>
      </c>
      <c r="AB1" t="s">
        <v>66</v>
      </c>
      <c r="AC1" s="47" t="s">
        <v>152</v>
      </c>
      <c r="AD1" t="s">
        <v>300</v>
      </c>
      <c r="AE1" s="47" t="s">
        <v>301</v>
      </c>
      <c r="AF1" t="s">
        <v>141</v>
      </c>
      <c r="AG1" t="s">
        <v>107</v>
      </c>
      <c r="AH1" t="s">
        <v>43</v>
      </c>
      <c r="AI1" t="s">
        <v>89</v>
      </c>
      <c r="AJ1" t="s">
        <v>101</v>
      </c>
    </row>
    <row r="2" spans="1:36" x14ac:dyDescent="0.25">
      <c r="A2" s="1">
        <v>44247</v>
      </c>
      <c r="B2">
        <v>1</v>
      </c>
      <c r="C2" s="1" t="s">
        <v>302</v>
      </c>
      <c r="D2" s="1" t="s">
        <v>303</v>
      </c>
      <c r="F2" s="5">
        <v>2</v>
      </c>
      <c r="G2" t="s">
        <v>297</v>
      </c>
      <c r="H2" t="s">
        <v>28</v>
      </c>
      <c r="I2" t="s">
        <v>16</v>
      </c>
      <c r="J2" t="s">
        <v>298</v>
      </c>
      <c r="K2" t="s">
        <v>154</v>
      </c>
      <c r="L2" s="21">
        <v>150</v>
      </c>
      <c r="M2">
        <v>1</v>
      </c>
      <c r="N2" s="48">
        <v>1</v>
      </c>
      <c r="O2" s="21">
        <v>1</v>
      </c>
      <c r="P2" s="21">
        <v>1</v>
      </c>
      <c r="Q2" s="21">
        <v>1</v>
      </c>
      <c r="R2" s="21">
        <v>1</v>
      </c>
      <c r="S2" s="21">
        <v>1</v>
      </c>
      <c r="T2" s="21">
        <v>1</v>
      </c>
      <c r="U2" s="21">
        <v>157</v>
      </c>
      <c r="V2" s="22" t="s">
        <v>304</v>
      </c>
      <c r="W2" s="21">
        <v>2</v>
      </c>
      <c r="X2" s="10" t="s">
        <v>104</v>
      </c>
      <c r="Y2" s="10" t="s">
        <v>73</v>
      </c>
      <c r="Z2" s="18">
        <v>44250</v>
      </c>
      <c r="AA2" s="10">
        <v>1</v>
      </c>
      <c r="AB2" s="10">
        <v>2</v>
      </c>
      <c r="AC2" s="18">
        <v>44250</v>
      </c>
      <c r="AD2" s="21">
        <v>300</v>
      </c>
      <c r="AE2" s="21">
        <v>309</v>
      </c>
    </row>
    <row r="3" spans="1:36" x14ac:dyDescent="0.25">
      <c r="A3" s="61">
        <v>44228</v>
      </c>
      <c r="B3" s="13">
        <v>10</v>
      </c>
      <c r="C3" s="61">
        <v>44257</v>
      </c>
      <c r="D3" s="61"/>
      <c r="E3" s="13"/>
      <c r="F3" s="62">
        <v>12587</v>
      </c>
      <c r="G3" s="13" t="s">
        <v>326</v>
      </c>
      <c r="H3" s="13" t="s">
        <v>28</v>
      </c>
      <c r="I3" s="13" t="s">
        <v>16</v>
      </c>
      <c r="J3" s="13" t="s">
        <v>327</v>
      </c>
      <c r="K3" s="13" t="s">
        <v>170</v>
      </c>
      <c r="L3" s="66">
        <v>122</v>
      </c>
      <c r="M3" s="13">
        <v>10</v>
      </c>
      <c r="N3" s="67">
        <v>0</v>
      </c>
      <c r="O3" s="66">
        <v>0</v>
      </c>
      <c r="P3" s="66">
        <v>0</v>
      </c>
      <c r="Q3" s="66">
        <v>0</v>
      </c>
      <c r="R3" s="66">
        <v>10</v>
      </c>
      <c r="S3" s="66">
        <v>10</v>
      </c>
      <c r="T3" s="66">
        <v>10</v>
      </c>
      <c r="U3" s="66">
        <v>152</v>
      </c>
      <c r="V3" s="58" t="s">
        <v>314</v>
      </c>
      <c r="W3" s="66">
        <v>10</v>
      </c>
      <c r="X3" s="63" t="s">
        <v>104</v>
      </c>
      <c r="Y3" s="63" t="s">
        <v>72</v>
      </c>
      <c r="Z3" s="64">
        <v>44254</v>
      </c>
      <c r="AA3" s="68">
        <v>10</v>
      </c>
      <c r="AB3" s="66">
        <v>10</v>
      </c>
      <c r="AC3" s="64">
        <v>44256</v>
      </c>
      <c r="AD3" s="66">
        <v>322</v>
      </c>
      <c r="AE3" s="66">
        <v>362</v>
      </c>
      <c r="AF3" s="13"/>
      <c r="AG3" s="13"/>
      <c r="AH3" s="13"/>
      <c r="AI3" s="13"/>
      <c r="AJ3" s="65"/>
    </row>
    <row r="4" spans="1:36" x14ac:dyDescent="0.25">
      <c r="A4" s="61">
        <v>44237</v>
      </c>
      <c r="B4" s="13">
        <v>11</v>
      </c>
      <c r="C4" s="61">
        <v>44318</v>
      </c>
      <c r="D4" s="61"/>
      <c r="E4" s="13"/>
      <c r="F4" s="62">
        <v>12258</v>
      </c>
      <c r="G4" s="13" t="s">
        <v>328</v>
      </c>
      <c r="H4" s="13" t="s">
        <v>29</v>
      </c>
      <c r="I4" s="13" t="s">
        <v>16</v>
      </c>
      <c r="J4" s="13" t="s">
        <v>329</v>
      </c>
      <c r="K4" s="13" t="s">
        <v>157</v>
      </c>
      <c r="L4" s="66">
        <v>170</v>
      </c>
      <c r="M4" s="13">
        <v>10</v>
      </c>
      <c r="N4" s="67">
        <v>15</v>
      </c>
      <c r="O4" s="66">
        <v>10</v>
      </c>
      <c r="P4" s="66">
        <v>0</v>
      </c>
      <c r="Q4" s="66">
        <v>25</v>
      </c>
      <c r="R4" s="66">
        <v>10</v>
      </c>
      <c r="S4" s="66">
        <v>10</v>
      </c>
      <c r="T4" s="66">
        <v>0</v>
      </c>
      <c r="U4" s="66">
        <v>240</v>
      </c>
      <c r="V4" s="57" t="s">
        <v>315</v>
      </c>
      <c r="W4" s="66">
        <v>22.5</v>
      </c>
      <c r="X4" s="63" t="s">
        <v>104</v>
      </c>
      <c r="Y4" s="63" t="s">
        <v>74</v>
      </c>
      <c r="Z4" s="64">
        <v>44254</v>
      </c>
      <c r="AA4" s="68">
        <v>15</v>
      </c>
      <c r="AB4" s="66">
        <v>22.5</v>
      </c>
      <c r="AC4" s="64">
        <v>44242</v>
      </c>
      <c r="AD4" s="66">
        <v>400</v>
      </c>
      <c r="AE4" s="66">
        <v>492.5</v>
      </c>
      <c r="AF4" s="13"/>
      <c r="AG4" s="13"/>
      <c r="AH4" s="13"/>
      <c r="AI4" s="13"/>
      <c r="AJ4" s="65"/>
    </row>
    <row r="5" spans="1:36" x14ac:dyDescent="0.25">
      <c r="A5" s="49"/>
      <c r="B5" s="49"/>
      <c r="C5" s="49"/>
      <c r="D5" s="49"/>
      <c r="E5" s="49"/>
      <c r="F5" s="49"/>
      <c r="G5" s="49"/>
      <c r="H5" s="49"/>
      <c r="I5" s="49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5"/>
  <sheetViews>
    <sheetView topLeftCell="N1" workbookViewId="0">
      <selection activeCell="R3" sqref="R3"/>
    </sheetView>
  </sheetViews>
  <sheetFormatPr defaultRowHeight="15" x14ac:dyDescent="0.25"/>
  <cols>
    <col min="1" max="3" width="21.7109375" style="8" customWidth="1"/>
    <col min="4" max="6" width="21.7109375" style="6" customWidth="1"/>
    <col min="7" max="7" width="21.7109375" style="5" customWidth="1"/>
    <col min="8" max="10" width="21.7109375" customWidth="1"/>
    <col min="11" max="11" width="21.7109375" style="7" customWidth="1"/>
    <col min="12" max="15" width="21.7109375" customWidth="1"/>
    <col min="16" max="17" width="21.7109375" style="5" customWidth="1"/>
    <col min="18" max="18" width="21.7109375" style="55" customWidth="1"/>
    <col min="19" max="19" width="21.7109375" style="10" customWidth="1"/>
    <col min="20" max="20" width="21.7109375" customWidth="1"/>
    <col min="21" max="21" width="21.7109375" style="10" customWidth="1"/>
    <col min="22" max="22" width="23.28515625" customWidth="1"/>
    <col min="23" max="27" width="21.7109375" style="10" customWidth="1"/>
    <col min="28" max="28" width="21.7109375" style="8" customWidth="1"/>
    <col min="29" max="29" width="20.85546875" style="1" bestFit="1" customWidth="1"/>
    <col min="30" max="30" width="20.85546875" style="1" customWidth="1"/>
    <col min="31" max="31" width="18.42578125" bestFit="1" customWidth="1"/>
    <col min="32" max="32" width="21.42578125" bestFit="1" customWidth="1"/>
    <col min="33" max="33" width="15.5703125" bestFit="1" customWidth="1"/>
  </cols>
  <sheetData>
    <row r="1" spans="1:33" s="2" customFormat="1" ht="30" customHeight="1" x14ac:dyDescent="0.25">
      <c r="A1" t="s">
        <v>87</v>
      </c>
      <c r="B1" t="s">
        <v>90</v>
      </c>
      <c r="C1" t="s">
        <v>91</v>
      </c>
      <c r="D1" t="s">
        <v>44</v>
      </c>
      <c r="E1" t="s">
        <v>53</v>
      </c>
      <c r="F1" t="s">
        <v>54</v>
      </c>
      <c r="G1" t="s">
        <v>55</v>
      </c>
      <c r="H1" t="s">
        <v>47</v>
      </c>
      <c r="I1" t="s">
        <v>56</v>
      </c>
      <c r="J1" t="s">
        <v>48</v>
      </c>
      <c r="K1" t="s">
        <v>49</v>
      </c>
      <c r="L1" t="s">
        <v>57</v>
      </c>
      <c r="M1" t="s">
        <v>58</v>
      </c>
      <c r="N1" t="s">
        <v>51</v>
      </c>
      <c r="O1" t="s">
        <v>59</v>
      </c>
      <c r="P1" t="s">
        <v>60</v>
      </c>
      <c r="Q1" t="s">
        <v>61</v>
      </c>
      <c r="R1" s="55" t="s">
        <v>88</v>
      </c>
      <c r="S1" t="s">
        <v>123</v>
      </c>
      <c r="T1" t="s">
        <v>63</v>
      </c>
      <c r="U1" t="s">
        <v>64</v>
      </c>
      <c r="V1" t="s">
        <v>65</v>
      </c>
      <c r="W1" t="s">
        <v>66</v>
      </c>
      <c r="X1" t="s">
        <v>67</v>
      </c>
      <c r="Y1" t="s">
        <v>68</v>
      </c>
      <c r="Z1" t="s">
        <v>69</v>
      </c>
      <c r="AA1" t="s">
        <v>148</v>
      </c>
      <c r="AB1" t="s">
        <v>100</v>
      </c>
      <c r="AC1" t="s">
        <v>109</v>
      </c>
      <c r="AD1" t="s">
        <v>110</v>
      </c>
      <c r="AE1" t="s">
        <v>152</v>
      </c>
      <c r="AF1" s="47" t="s">
        <v>300</v>
      </c>
      <c r="AG1" s="47" t="s">
        <v>301</v>
      </c>
    </row>
    <row r="2" spans="1:33" x14ac:dyDescent="0.25">
      <c r="A2" s="8" t="s">
        <v>296</v>
      </c>
      <c r="B2" s="8" t="s">
        <v>295</v>
      </c>
      <c r="D2" s="6">
        <v>1</v>
      </c>
      <c r="E2" s="6">
        <v>1</v>
      </c>
      <c r="F2" s="6">
        <v>124</v>
      </c>
      <c r="G2" s="5">
        <v>141</v>
      </c>
      <c r="H2" t="s">
        <v>142</v>
      </c>
      <c r="I2" t="s">
        <v>294</v>
      </c>
      <c r="J2" t="s">
        <v>28</v>
      </c>
      <c r="K2" s="7" t="s">
        <v>16</v>
      </c>
      <c r="M2" t="s">
        <v>85</v>
      </c>
      <c r="N2" t="s">
        <v>153</v>
      </c>
      <c r="O2" t="s">
        <v>76</v>
      </c>
      <c r="P2" s="5">
        <v>10</v>
      </c>
      <c r="Q2" s="5" t="s">
        <v>299</v>
      </c>
      <c r="R2" s="55" t="s">
        <v>304</v>
      </c>
      <c r="S2" s="21">
        <v>151</v>
      </c>
      <c r="T2">
        <v>10</v>
      </c>
      <c r="U2" s="21">
        <v>13</v>
      </c>
      <c r="V2">
        <v>10</v>
      </c>
      <c r="W2" s="21">
        <v>13</v>
      </c>
      <c r="X2" s="21">
        <v>10</v>
      </c>
      <c r="Y2" s="21">
        <v>10</v>
      </c>
      <c r="Z2" s="21">
        <v>10</v>
      </c>
      <c r="AA2" s="21">
        <v>194</v>
      </c>
      <c r="AB2" s="8" t="s">
        <v>295</v>
      </c>
      <c r="AC2" s="1" t="s">
        <v>104</v>
      </c>
      <c r="AD2" s="1" t="s">
        <v>104</v>
      </c>
      <c r="AE2" t="s">
        <v>295</v>
      </c>
      <c r="AF2" s="48">
        <v>300</v>
      </c>
      <c r="AG2" s="48">
        <v>356</v>
      </c>
    </row>
    <row r="3" spans="1:33" x14ac:dyDescent="0.25">
      <c r="A3" s="8" t="s">
        <v>321</v>
      </c>
      <c r="B3" s="8" t="s">
        <v>321</v>
      </c>
      <c r="C3" s="8" t="s">
        <v>319</v>
      </c>
      <c r="D3" s="6">
        <v>11</v>
      </c>
      <c r="E3" s="6">
        <v>5</v>
      </c>
      <c r="F3" s="6">
        <v>114</v>
      </c>
      <c r="G3" s="5">
        <v>1</v>
      </c>
      <c r="H3" t="s">
        <v>320</v>
      </c>
      <c r="I3" t="s">
        <v>318</v>
      </c>
      <c r="J3" t="s">
        <v>28</v>
      </c>
      <c r="K3" s="46" t="s">
        <v>16</v>
      </c>
      <c r="M3" t="s">
        <v>86</v>
      </c>
      <c r="N3" t="s">
        <v>155</v>
      </c>
      <c r="O3" t="s">
        <v>84</v>
      </c>
      <c r="P3" s="5">
        <v>52</v>
      </c>
      <c r="Q3" s="5" t="s">
        <v>330</v>
      </c>
      <c r="R3" s="55" t="s">
        <v>304</v>
      </c>
      <c r="S3" s="21">
        <v>130</v>
      </c>
      <c r="T3">
        <v>10</v>
      </c>
      <c r="U3" s="21">
        <v>13</v>
      </c>
      <c r="V3">
        <v>1</v>
      </c>
      <c r="W3" s="21">
        <v>1.3</v>
      </c>
      <c r="X3" s="21">
        <v>50</v>
      </c>
      <c r="Y3" s="21">
        <v>35</v>
      </c>
      <c r="Z3" s="21">
        <v>0</v>
      </c>
      <c r="AA3" s="21">
        <v>228</v>
      </c>
      <c r="AB3" s="8" t="s">
        <v>321</v>
      </c>
      <c r="AC3" s="1" t="s">
        <v>104</v>
      </c>
      <c r="AD3" s="1" t="s">
        <v>104</v>
      </c>
      <c r="AE3" s="1">
        <v>44258</v>
      </c>
      <c r="AF3" s="48">
        <v>300</v>
      </c>
      <c r="AG3" s="48">
        <v>399.3</v>
      </c>
    </row>
    <row r="4" spans="1:33" x14ac:dyDescent="0.25">
      <c r="A4" s="8" t="s">
        <v>295</v>
      </c>
      <c r="B4" s="8">
        <v>44229</v>
      </c>
      <c r="C4" s="8" t="s">
        <v>303</v>
      </c>
      <c r="D4" s="6">
        <v>1</v>
      </c>
      <c r="E4" s="6">
        <v>5</v>
      </c>
      <c r="F4" s="6">
        <v>15</v>
      </c>
      <c r="G4" s="5">
        <v>1</v>
      </c>
      <c r="H4" t="s">
        <v>324</v>
      </c>
      <c r="I4" t="s">
        <v>322</v>
      </c>
      <c r="J4" t="s">
        <v>28</v>
      </c>
      <c r="K4" s="46" t="s">
        <v>16</v>
      </c>
      <c r="M4" t="s">
        <v>85</v>
      </c>
      <c r="N4" t="s">
        <v>165</v>
      </c>
      <c r="O4" t="s">
        <v>84</v>
      </c>
      <c r="P4" s="5">
        <v>10</v>
      </c>
      <c r="Q4" s="5" t="s">
        <v>299</v>
      </c>
      <c r="R4" s="55" t="s">
        <v>305</v>
      </c>
      <c r="S4" s="21">
        <v>132</v>
      </c>
      <c r="T4">
        <v>10</v>
      </c>
      <c r="U4" s="21">
        <v>12</v>
      </c>
      <c r="V4">
        <v>10</v>
      </c>
      <c r="W4" s="21">
        <v>12</v>
      </c>
      <c r="X4" s="21">
        <v>10</v>
      </c>
      <c r="Y4" s="21">
        <v>0</v>
      </c>
      <c r="Z4" s="21">
        <v>0</v>
      </c>
      <c r="AA4" s="21">
        <v>154</v>
      </c>
      <c r="AB4" s="8" t="s">
        <v>321</v>
      </c>
      <c r="AC4" s="1" t="s">
        <v>104</v>
      </c>
      <c r="AD4" s="1" t="s">
        <v>104</v>
      </c>
      <c r="AE4" t="s">
        <v>302</v>
      </c>
      <c r="AF4" s="48">
        <v>302</v>
      </c>
      <c r="AG4" s="48">
        <v>336</v>
      </c>
    </row>
    <row r="5" spans="1:33" x14ac:dyDescent="0.25">
      <c r="A5" s="8">
        <v>44198</v>
      </c>
      <c r="B5" s="8">
        <v>44257</v>
      </c>
      <c r="C5" s="8" t="s">
        <v>319</v>
      </c>
      <c r="D5" s="6">
        <v>10</v>
      </c>
      <c r="E5" s="6">
        <v>158</v>
      </c>
      <c r="F5" s="6">
        <v>1215</v>
      </c>
      <c r="G5" s="5">
        <v>1255</v>
      </c>
      <c r="H5" t="s">
        <v>325</v>
      </c>
      <c r="I5" t="s">
        <v>322</v>
      </c>
      <c r="J5" t="s">
        <v>29</v>
      </c>
      <c r="K5" s="46" t="s">
        <v>16</v>
      </c>
      <c r="M5" t="s">
        <v>86</v>
      </c>
      <c r="N5" t="s">
        <v>155</v>
      </c>
      <c r="O5" t="s">
        <v>84</v>
      </c>
      <c r="P5" s="5">
        <v>12</v>
      </c>
      <c r="Q5" s="5" t="s">
        <v>331</v>
      </c>
      <c r="R5" s="55" t="s">
        <v>307</v>
      </c>
      <c r="S5" s="21">
        <v>141</v>
      </c>
      <c r="T5">
        <v>101</v>
      </c>
      <c r="U5" s="21">
        <v>0</v>
      </c>
      <c r="V5">
        <v>10</v>
      </c>
      <c r="W5" s="21">
        <v>0</v>
      </c>
      <c r="X5" s="21">
        <v>0</v>
      </c>
      <c r="Y5" s="21">
        <v>0</v>
      </c>
      <c r="Z5" s="21">
        <v>0</v>
      </c>
      <c r="AA5" s="21">
        <v>141</v>
      </c>
      <c r="AB5" s="8" t="s">
        <v>321</v>
      </c>
      <c r="AC5" s="1" t="s">
        <v>104</v>
      </c>
      <c r="AD5" s="1" t="s">
        <v>104</v>
      </c>
      <c r="AE5" s="1">
        <v>44199</v>
      </c>
      <c r="AF5" s="48">
        <v>350</v>
      </c>
      <c r="AG5" s="48">
        <v>350</v>
      </c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6"/>
  <sheetViews>
    <sheetView topLeftCell="K1" workbookViewId="0">
      <selection activeCell="S3" sqref="S3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46.285156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4" max="24" width="11.7109375" bestFit="1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spans="1:33" ht="38.25" customHeight="1" x14ac:dyDescent="0.25"/>
    <row r="2" spans="1:33" x14ac:dyDescent="0.25">
      <c r="A2" s="32" t="s">
        <v>111</v>
      </c>
      <c r="B2" s="32" t="s">
        <v>69</v>
      </c>
      <c r="C2" s="32" t="s">
        <v>122</v>
      </c>
      <c r="D2" s="32" t="s">
        <v>53</v>
      </c>
      <c r="E2" s="32" t="s">
        <v>114</v>
      </c>
      <c r="F2" s="32" t="s">
        <v>90</v>
      </c>
      <c r="G2" s="32" t="s">
        <v>123</v>
      </c>
      <c r="H2" s="32" t="s">
        <v>64</v>
      </c>
      <c r="I2" s="32" t="s">
        <v>67</v>
      </c>
      <c r="J2" s="32" t="s">
        <v>68</v>
      </c>
      <c r="K2" s="32" t="s">
        <v>124</v>
      </c>
      <c r="L2" s="32" t="s">
        <v>102</v>
      </c>
      <c r="M2" s="32" t="s">
        <v>70</v>
      </c>
      <c r="N2" s="32" t="s">
        <v>113</v>
      </c>
      <c r="O2" s="32" t="s">
        <v>103</v>
      </c>
      <c r="P2" s="32" t="s">
        <v>88</v>
      </c>
      <c r="R2" s="54" t="s">
        <v>128</v>
      </c>
      <c r="S2" s="54"/>
      <c r="U2" s="54" t="s">
        <v>129</v>
      </c>
      <c r="V2" s="54"/>
      <c r="W2" s="54" t="s">
        <v>130</v>
      </c>
      <c r="X2" s="54"/>
      <c r="Z2" s="38" t="s">
        <v>134</v>
      </c>
      <c r="AA2" s="38" t="s">
        <v>131</v>
      </c>
      <c r="AB2" s="38" t="s">
        <v>132</v>
      </c>
      <c r="AC2" s="38" t="s">
        <v>133</v>
      </c>
      <c r="AD2" s="38" t="s">
        <v>135</v>
      </c>
      <c r="AE2" s="38" t="s">
        <v>136</v>
      </c>
      <c r="AF2" s="38" t="s">
        <v>137</v>
      </c>
      <c r="AG2" s="38" t="s">
        <v>138</v>
      </c>
    </row>
    <row r="3" spans="1:33" x14ac:dyDescent="0.25">
      <c r="A3" s="47" t="s">
        <v>153</v>
      </c>
      <c r="B3" s="47">
        <v>10</v>
      </c>
      <c r="C3" s="47" t="s">
        <v>121</v>
      </c>
      <c r="D3" s="47">
        <v>1</v>
      </c>
      <c r="E3" s="47" t="s">
        <v>121</v>
      </c>
      <c r="F3" s="47" t="s">
        <v>295</v>
      </c>
      <c r="G3" s="47">
        <v>151</v>
      </c>
      <c r="H3" s="47">
        <v>13</v>
      </c>
      <c r="I3" s="47">
        <v>10</v>
      </c>
      <c r="J3" s="47">
        <v>10</v>
      </c>
      <c r="K3" s="47" t="s">
        <v>121</v>
      </c>
      <c r="L3" s="47" t="s">
        <v>121</v>
      </c>
      <c r="M3" s="47">
        <v>194</v>
      </c>
      <c r="N3" s="47" t="s">
        <v>125</v>
      </c>
      <c r="O3" s="47" t="s">
        <v>104</v>
      </c>
      <c r="P3" s="47" t="s">
        <v>293</v>
      </c>
      <c r="R3" s="57" t="s">
        <v>304</v>
      </c>
      <c r="S3" s="10">
        <f>SUMIF(P:P,$R3,M:M)</f>
        <v>438</v>
      </c>
      <c r="U3" t="s">
        <v>115</v>
      </c>
      <c r="V3" s="10">
        <f>SUMIF(N:N,U3,M:M)</f>
        <v>549</v>
      </c>
      <c r="W3" s="59" t="s">
        <v>153</v>
      </c>
      <c r="X3" s="10">
        <f>SUMIF(A:A,W3,G:G)</f>
        <v>151</v>
      </c>
      <c r="Z3" s="59" t="s">
        <v>153</v>
      </c>
      <c r="AA3" s="10">
        <f>SUMIF($A:$A,$Z3,H:H)</f>
        <v>13</v>
      </c>
      <c r="AB3" s="10">
        <f>SUMIF($A:$A,$Z3,$I:$I)</f>
        <v>10</v>
      </c>
      <c r="AC3" s="10">
        <f t="shared" ref="AC3:AE18" si="0">SUMIF($A:$A,$Z3,J:J)</f>
        <v>10</v>
      </c>
      <c r="AD3" s="10">
        <f t="shared" si="0"/>
        <v>0</v>
      </c>
      <c r="AE3" s="10">
        <f t="shared" si="0"/>
        <v>0</v>
      </c>
      <c r="AF3" s="10">
        <f>SUMIF($A:$A,$Z3,C:C)</f>
        <v>0</v>
      </c>
      <c r="AG3" s="10">
        <f>SUMIF($A:$A,$Z3,B:B)</f>
        <v>10</v>
      </c>
    </row>
    <row r="4" spans="1:33" x14ac:dyDescent="0.25">
      <c r="A4" s="47" t="s">
        <v>154</v>
      </c>
      <c r="B4" s="47">
        <v>1</v>
      </c>
      <c r="C4" s="47">
        <v>1</v>
      </c>
      <c r="D4" s="47">
        <v>2</v>
      </c>
      <c r="E4" s="47" t="s">
        <v>121</v>
      </c>
      <c r="F4" s="47" t="s">
        <v>302</v>
      </c>
      <c r="G4" s="47">
        <v>150</v>
      </c>
      <c r="H4" s="47">
        <v>1</v>
      </c>
      <c r="I4" s="47">
        <v>1</v>
      </c>
      <c r="J4" s="47">
        <v>1</v>
      </c>
      <c r="K4" s="47">
        <v>1</v>
      </c>
      <c r="L4" s="47">
        <v>1</v>
      </c>
      <c r="M4" s="47">
        <v>157</v>
      </c>
      <c r="N4" s="47" t="s">
        <v>115</v>
      </c>
      <c r="O4" s="47" t="s">
        <v>104</v>
      </c>
      <c r="P4" s="47" t="s">
        <v>307</v>
      </c>
      <c r="R4" s="58" t="s">
        <v>305</v>
      </c>
      <c r="S4" s="10">
        <f t="shared" ref="S4:S17" si="1">SUMIF(P:P,$R4,M:M)</f>
        <v>0</v>
      </c>
      <c r="U4" t="s">
        <v>125</v>
      </c>
      <c r="V4" s="10">
        <f>SUMIF(M:M,U4,L:L)</f>
        <v>0</v>
      </c>
      <c r="W4" s="60" t="s">
        <v>154</v>
      </c>
      <c r="X4" s="10">
        <f t="shared" ref="X4:X26" si="2">SUMIF(A:A,W4,G:G)</f>
        <v>150</v>
      </c>
      <c r="Z4" s="60" t="s">
        <v>154</v>
      </c>
      <c r="AA4" s="10">
        <f t="shared" ref="AA4:AA26" si="3">SUMIF($A:$A,$Z4,H:H)</f>
        <v>1</v>
      </c>
      <c r="AB4" s="10">
        <f t="shared" ref="AB4:AB26" si="4">SUMIF($A:$A,$Z4,$I:$I)</f>
        <v>1</v>
      </c>
      <c r="AC4" s="10">
        <f t="shared" si="0"/>
        <v>1</v>
      </c>
      <c r="AD4" s="10">
        <f t="shared" si="0"/>
        <v>1</v>
      </c>
      <c r="AE4" s="10">
        <f t="shared" si="0"/>
        <v>1</v>
      </c>
      <c r="AF4" s="10">
        <f t="shared" ref="AF4:AF26" si="5">SUMIF($A:$A,$Z4,C:C)</f>
        <v>1</v>
      </c>
      <c r="AG4" s="10">
        <f t="shared" ref="AG4:AG26" si="6">SUMIF($A:$A,$Z4,B:B)</f>
        <v>1</v>
      </c>
    </row>
    <row r="5" spans="1:33" x14ac:dyDescent="0.25">
      <c r="A5" s="47" t="s">
        <v>155</v>
      </c>
      <c r="B5" s="47">
        <v>0</v>
      </c>
      <c r="C5" s="47" t="s">
        <v>121</v>
      </c>
      <c r="D5" s="47">
        <v>5</v>
      </c>
      <c r="E5" s="47" t="s">
        <v>121</v>
      </c>
      <c r="F5" s="47" t="s">
        <v>321</v>
      </c>
      <c r="G5" s="47">
        <v>158</v>
      </c>
      <c r="H5" s="47">
        <v>195</v>
      </c>
      <c r="I5" s="47">
        <v>50</v>
      </c>
      <c r="J5" s="47">
        <v>35</v>
      </c>
      <c r="K5" s="47" t="s">
        <v>121</v>
      </c>
      <c r="L5" s="47" t="s">
        <v>121</v>
      </c>
      <c r="M5" s="47">
        <v>438</v>
      </c>
      <c r="N5" s="47" t="s">
        <v>125</v>
      </c>
      <c r="O5" s="47" t="s">
        <v>104</v>
      </c>
      <c r="P5" s="47" t="s">
        <v>304</v>
      </c>
      <c r="R5" s="57" t="s">
        <v>306</v>
      </c>
      <c r="S5" s="10">
        <f t="shared" si="1"/>
        <v>0</v>
      </c>
      <c r="W5" s="59" t="s">
        <v>155</v>
      </c>
      <c r="X5" s="10">
        <f t="shared" si="2"/>
        <v>299</v>
      </c>
      <c r="Z5" s="59" t="s">
        <v>155</v>
      </c>
      <c r="AA5" s="10">
        <f t="shared" si="3"/>
        <v>195</v>
      </c>
      <c r="AB5" s="10">
        <f t="shared" si="4"/>
        <v>50</v>
      </c>
      <c r="AC5" s="10">
        <f t="shared" si="0"/>
        <v>35</v>
      </c>
      <c r="AD5" s="10">
        <f t="shared" si="0"/>
        <v>0</v>
      </c>
      <c r="AE5" s="10">
        <f t="shared" si="0"/>
        <v>0</v>
      </c>
      <c r="AF5" s="10">
        <f t="shared" si="5"/>
        <v>0</v>
      </c>
      <c r="AG5" s="10">
        <f t="shared" si="6"/>
        <v>0</v>
      </c>
    </row>
    <row r="6" spans="1:33" x14ac:dyDescent="0.25">
      <c r="A6" s="47" t="s">
        <v>155</v>
      </c>
      <c r="B6" s="47">
        <v>0</v>
      </c>
      <c r="C6" s="47" t="s">
        <v>121</v>
      </c>
      <c r="D6" s="47">
        <v>158</v>
      </c>
      <c r="E6" s="47" t="s">
        <v>121</v>
      </c>
      <c r="F6" s="1">
        <v>44257</v>
      </c>
      <c r="G6" s="47">
        <v>141</v>
      </c>
      <c r="H6" s="47">
        <v>0</v>
      </c>
      <c r="I6" s="47">
        <v>0</v>
      </c>
      <c r="J6" s="47">
        <v>0</v>
      </c>
      <c r="K6" s="47" t="s">
        <v>121</v>
      </c>
      <c r="L6" s="47" t="s">
        <v>121</v>
      </c>
      <c r="M6" s="47">
        <v>141</v>
      </c>
      <c r="N6" s="47" t="s">
        <v>125</v>
      </c>
      <c r="O6" s="47" t="s">
        <v>104</v>
      </c>
      <c r="P6" s="47" t="s">
        <v>307</v>
      </c>
      <c r="R6" s="58" t="s">
        <v>307</v>
      </c>
      <c r="S6" s="10">
        <f t="shared" si="1"/>
        <v>298</v>
      </c>
      <c r="W6" s="60" t="s">
        <v>156</v>
      </c>
      <c r="X6" s="10">
        <f t="shared" si="2"/>
        <v>0</v>
      </c>
      <c r="Z6" s="60" t="s">
        <v>156</v>
      </c>
      <c r="AA6" s="10">
        <f t="shared" si="3"/>
        <v>0</v>
      </c>
      <c r="AB6" s="10">
        <f t="shared" si="4"/>
        <v>0</v>
      </c>
      <c r="AC6" s="10">
        <f t="shared" si="0"/>
        <v>0</v>
      </c>
      <c r="AD6" s="10">
        <f t="shared" si="0"/>
        <v>0</v>
      </c>
      <c r="AE6" s="10">
        <f t="shared" si="0"/>
        <v>0</v>
      </c>
      <c r="AF6" s="10">
        <f t="shared" si="5"/>
        <v>0</v>
      </c>
      <c r="AG6" s="10">
        <f t="shared" si="6"/>
        <v>0</v>
      </c>
    </row>
    <row r="7" spans="1:33" x14ac:dyDescent="0.25">
      <c r="A7" s="47" t="s">
        <v>170</v>
      </c>
      <c r="B7" s="47">
        <v>10</v>
      </c>
      <c r="C7" s="47">
        <v>10</v>
      </c>
      <c r="D7" s="47">
        <v>12587</v>
      </c>
      <c r="E7" s="47" t="s">
        <v>121</v>
      </c>
      <c r="F7" s="1">
        <v>44257</v>
      </c>
      <c r="G7" s="47">
        <v>122</v>
      </c>
      <c r="H7" s="47">
        <v>0</v>
      </c>
      <c r="I7" s="47">
        <v>0</v>
      </c>
      <c r="J7" s="47">
        <v>0</v>
      </c>
      <c r="K7" s="47">
        <v>0</v>
      </c>
      <c r="L7" s="47">
        <v>10</v>
      </c>
      <c r="M7" s="47">
        <v>152</v>
      </c>
      <c r="N7" s="47" t="s">
        <v>115</v>
      </c>
      <c r="O7" s="47" t="s">
        <v>104</v>
      </c>
      <c r="P7" s="47" t="s">
        <v>308</v>
      </c>
      <c r="R7" s="57" t="s">
        <v>308</v>
      </c>
      <c r="S7" s="10">
        <f t="shared" si="1"/>
        <v>152</v>
      </c>
      <c r="W7" s="59" t="s">
        <v>157</v>
      </c>
      <c r="X7" s="10">
        <f t="shared" si="2"/>
        <v>170</v>
      </c>
      <c r="Z7" s="59" t="s">
        <v>157</v>
      </c>
      <c r="AA7" s="10">
        <f t="shared" si="3"/>
        <v>15</v>
      </c>
      <c r="AB7" s="10">
        <f t="shared" si="4"/>
        <v>0</v>
      </c>
      <c r="AC7" s="10">
        <f t="shared" si="0"/>
        <v>25</v>
      </c>
      <c r="AD7" s="10">
        <f t="shared" si="0"/>
        <v>10</v>
      </c>
      <c r="AE7" s="10">
        <f t="shared" si="0"/>
        <v>10</v>
      </c>
      <c r="AF7" s="10">
        <f t="shared" si="5"/>
        <v>10</v>
      </c>
      <c r="AG7" s="10">
        <f t="shared" si="6"/>
        <v>0</v>
      </c>
    </row>
    <row r="8" spans="1:33" x14ac:dyDescent="0.25">
      <c r="A8" s="47" t="s">
        <v>157</v>
      </c>
      <c r="B8" s="47">
        <v>0</v>
      </c>
      <c r="C8" s="47">
        <v>10</v>
      </c>
      <c r="D8" s="47">
        <v>12258</v>
      </c>
      <c r="E8" s="47" t="s">
        <v>121</v>
      </c>
      <c r="F8" s="1">
        <v>44318</v>
      </c>
      <c r="G8" s="47">
        <v>170</v>
      </c>
      <c r="H8" s="47">
        <v>15</v>
      </c>
      <c r="I8" s="47">
        <v>0</v>
      </c>
      <c r="J8" s="47">
        <v>25</v>
      </c>
      <c r="K8" s="47">
        <v>10</v>
      </c>
      <c r="L8" s="47">
        <v>10</v>
      </c>
      <c r="M8" s="47">
        <v>240</v>
      </c>
      <c r="N8" s="47" t="s">
        <v>115</v>
      </c>
      <c r="O8" s="47" t="s">
        <v>104</v>
      </c>
      <c r="P8" s="47" t="s">
        <v>314</v>
      </c>
      <c r="R8" s="58" t="s">
        <v>309</v>
      </c>
      <c r="S8" s="10">
        <f t="shared" si="1"/>
        <v>0</v>
      </c>
      <c r="W8" s="60" t="s">
        <v>158</v>
      </c>
      <c r="X8" s="10">
        <f t="shared" si="2"/>
        <v>0</v>
      </c>
      <c r="Z8" s="60" t="s">
        <v>158</v>
      </c>
      <c r="AA8" s="10">
        <f t="shared" si="3"/>
        <v>0</v>
      </c>
      <c r="AB8" s="10">
        <f t="shared" si="4"/>
        <v>0</v>
      </c>
      <c r="AC8" s="10">
        <f t="shared" si="0"/>
        <v>0</v>
      </c>
      <c r="AD8" s="10">
        <f t="shared" si="0"/>
        <v>0</v>
      </c>
      <c r="AE8" s="10">
        <f t="shared" si="0"/>
        <v>0</v>
      </c>
      <c r="AF8" s="10">
        <f t="shared" si="5"/>
        <v>0</v>
      </c>
      <c r="AG8" s="10">
        <f t="shared" si="6"/>
        <v>0</v>
      </c>
    </row>
    <row r="9" spans="1:33" x14ac:dyDescent="0.25">
      <c r="R9" s="57" t="s">
        <v>310</v>
      </c>
      <c r="S9" s="10">
        <f t="shared" si="1"/>
        <v>0</v>
      </c>
      <c r="W9" s="59" t="s">
        <v>159</v>
      </c>
      <c r="X9" s="10">
        <f t="shared" si="2"/>
        <v>0</v>
      </c>
      <c r="Z9" s="59" t="s">
        <v>159</v>
      </c>
      <c r="AA9" s="10">
        <f t="shared" si="3"/>
        <v>0</v>
      </c>
      <c r="AB9" s="10">
        <f t="shared" si="4"/>
        <v>0</v>
      </c>
      <c r="AC9" s="10">
        <f t="shared" si="0"/>
        <v>0</v>
      </c>
      <c r="AD9" s="10">
        <f t="shared" si="0"/>
        <v>0</v>
      </c>
      <c r="AE9" s="10">
        <f t="shared" si="0"/>
        <v>0</v>
      </c>
      <c r="AF9" s="10">
        <f t="shared" si="5"/>
        <v>0</v>
      </c>
      <c r="AG9" s="10">
        <f t="shared" si="6"/>
        <v>0</v>
      </c>
    </row>
    <row r="10" spans="1:33" x14ac:dyDescent="0.25">
      <c r="R10" s="58" t="s">
        <v>323</v>
      </c>
      <c r="S10" s="10">
        <f t="shared" si="1"/>
        <v>0</v>
      </c>
      <c r="W10" s="60" t="s">
        <v>160</v>
      </c>
      <c r="X10" s="10">
        <f t="shared" si="2"/>
        <v>0</v>
      </c>
      <c r="Z10" s="60" t="s">
        <v>160</v>
      </c>
      <c r="AA10" s="10">
        <f t="shared" si="3"/>
        <v>0</v>
      </c>
      <c r="AB10" s="10">
        <f t="shared" si="4"/>
        <v>0</v>
      </c>
      <c r="AC10" s="10">
        <f t="shared" si="0"/>
        <v>0</v>
      </c>
      <c r="AD10" s="10">
        <f t="shared" si="0"/>
        <v>0</v>
      </c>
      <c r="AE10" s="10">
        <f t="shared" si="0"/>
        <v>0</v>
      </c>
      <c r="AF10" s="10">
        <f t="shared" si="5"/>
        <v>0</v>
      </c>
      <c r="AG10" s="10">
        <f t="shared" si="6"/>
        <v>0</v>
      </c>
    </row>
    <row r="11" spans="1:33" x14ac:dyDescent="0.25">
      <c r="R11" s="57" t="s">
        <v>311</v>
      </c>
      <c r="S11" s="10">
        <f t="shared" si="1"/>
        <v>0</v>
      </c>
      <c r="W11" s="59" t="s">
        <v>161</v>
      </c>
      <c r="X11" s="10">
        <f t="shared" si="2"/>
        <v>0</v>
      </c>
      <c r="Z11" s="59" t="s">
        <v>161</v>
      </c>
      <c r="AA11" s="10">
        <f t="shared" si="3"/>
        <v>0</v>
      </c>
      <c r="AB11" s="10">
        <f t="shared" si="4"/>
        <v>0</v>
      </c>
      <c r="AC11" s="10">
        <f t="shared" si="0"/>
        <v>0</v>
      </c>
      <c r="AD11" s="10">
        <f t="shared" si="0"/>
        <v>0</v>
      </c>
      <c r="AE11" s="10">
        <f t="shared" si="0"/>
        <v>0</v>
      </c>
      <c r="AF11" s="10">
        <f t="shared" si="5"/>
        <v>0</v>
      </c>
      <c r="AG11" s="10">
        <f t="shared" si="6"/>
        <v>0</v>
      </c>
    </row>
    <row r="12" spans="1:33" x14ac:dyDescent="0.25">
      <c r="R12" s="58" t="s">
        <v>312</v>
      </c>
      <c r="S12" s="10">
        <f t="shared" si="1"/>
        <v>0</v>
      </c>
      <c r="W12" s="60" t="s">
        <v>162</v>
      </c>
      <c r="X12" s="10">
        <f t="shared" si="2"/>
        <v>0</v>
      </c>
      <c r="Z12" s="60" t="s">
        <v>162</v>
      </c>
      <c r="AA12" s="10">
        <f t="shared" si="3"/>
        <v>0</v>
      </c>
      <c r="AB12" s="10">
        <f t="shared" si="4"/>
        <v>0</v>
      </c>
      <c r="AC12" s="10">
        <f t="shared" si="0"/>
        <v>0</v>
      </c>
      <c r="AD12" s="10">
        <f t="shared" si="0"/>
        <v>0</v>
      </c>
      <c r="AE12" s="10">
        <f t="shared" si="0"/>
        <v>0</v>
      </c>
      <c r="AF12" s="10">
        <f t="shared" si="5"/>
        <v>0</v>
      </c>
      <c r="AG12" s="10">
        <f t="shared" si="6"/>
        <v>0</v>
      </c>
    </row>
    <row r="13" spans="1:33" x14ac:dyDescent="0.25">
      <c r="R13" s="57" t="s">
        <v>313</v>
      </c>
      <c r="S13" s="10">
        <f t="shared" si="1"/>
        <v>0</v>
      </c>
      <c r="W13" s="59" t="s">
        <v>163</v>
      </c>
      <c r="X13" s="10">
        <f t="shared" si="2"/>
        <v>0</v>
      </c>
      <c r="Z13" s="59" t="s">
        <v>163</v>
      </c>
      <c r="AA13" s="10">
        <f t="shared" si="3"/>
        <v>0</v>
      </c>
      <c r="AB13" s="10">
        <f t="shared" si="4"/>
        <v>0</v>
      </c>
      <c r="AC13" s="10">
        <f t="shared" si="0"/>
        <v>0</v>
      </c>
      <c r="AD13" s="10">
        <f t="shared" si="0"/>
        <v>0</v>
      </c>
      <c r="AE13" s="10">
        <f t="shared" si="0"/>
        <v>0</v>
      </c>
      <c r="AF13" s="10">
        <f t="shared" si="5"/>
        <v>0</v>
      </c>
      <c r="AG13" s="10">
        <f t="shared" si="6"/>
        <v>0</v>
      </c>
    </row>
    <row r="14" spans="1:33" x14ac:dyDescent="0.25">
      <c r="R14" s="58" t="s">
        <v>314</v>
      </c>
      <c r="S14" s="10">
        <f t="shared" si="1"/>
        <v>240</v>
      </c>
      <c r="W14" s="60" t="s">
        <v>164</v>
      </c>
      <c r="X14" s="10">
        <f t="shared" si="2"/>
        <v>0</v>
      </c>
      <c r="Z14" s="60" t="s">
        <v>164</v>
      </c>
      <c r="AA14" s="10">
        <f t="shared" si="3"/>
        <v>0</v>
      </c>
      <c r="AB14" s="10">
        <f t="shared" si="4"/>
        <v>0</v>
      </c>
      <c r="AC14" s="10">
        <f t="shared" si="0"/>
        <v>0</v>
      </c>
      <c r="AD14" s="10">
        <f t="shared" si="0"/>
        <v>0</v>
      </c>
      <c r="AE14" s="10">
        <f t="shared" si="0"/>
        <v>0</v>
      </c>
      <c r="AF14" s="10">
        <f t="shared" si="5"/>
        <v>0</v>
      </c>
      <c r="AG14" s="10">
        <f t="shared" si="6"/>
        <v>0</v>
      </c>
    </row>
    <row r="15" spans="1:33" x14ac:dyDescent="0.25">
      <c r="R15" s="57" t="s">
        <v>315</v>
      </c>
      <c r="S15" s="10">
        <f t="shared" si="1"/>
        <v>0</v>
      </c>
      <c r="W15" s="59" t="s">
        <v>165</v>
      </c>
      <c r="X15" s="10">
        <f t="shared" si="2"/>
        <v>0</v>
      </c>
      <c r="Z15" s="59" t="s">
        <v>165</v>
      </c>
      <c r="AA15" s="10">
        <f t="shared" si="3"/>
        <v>0</v>
      </c>
      <c r="AB15" s="10">
        <f t="shared" si="4"/>
        <v>0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5"/>
        <v>0</v>
      </c>
      <c r="AG15" s="10">
        <f t="shared" si="6"/>
        <v>0</v>
      </c>
    </row>
    <row r="16" spans="1:33" x14ac:dyDescent="0.25">
      <c r="R16" s="58" t="s">
        <v>316</v>
      </c>
      <c r="S16" s="10">
        <f t="shared" si="1"/>
        <v>0</v>
      </c>
      <c r="W16" s="60" t="s">
        <v>166</v>
      </c>
      <c r="X16" s="10">
        <f t="shared" si="2"/>
        <v>0</v>
      </c>
      <c r="Z16" s="60" t="s">
        <v>166</v>
      </c>
      <c r="AA16" s="10">
        <f t="shared" si="3"/>
        <v>0</v>
      </c>
      <c r="AB16" s="10">
        <f t="shared" si="4"/>
        <v>0</v>
      </c>
      <c r="AC16" s="10">
        <f t="shared" si="0"/>
        <v>0</v>
      </c>
      <c r="AD16" s="10">
        <f t="shared" si="0"/>
        <v>0</v>
      </c>
      <c r="AE16" s="10">
        <f t="shared" si="0"/>
        <v>0</v>
      </c>
      <c r="AF16" s="10">
        <f t="shared" si="5"/>
        <v>0</v>
      </c>
      <c r="AG16" s="10">
        <f t="shared" si="6"/>
        <v>0</v>
      </c>
    </row>
    <row r="17" spans="18:33" x14ac:dyDescent="0.25">
      <c r="R17" s="57" t="s">
        <v>317</v>
      </c>
      <c r="S17" s="10">
        <f t="shared" si="1"/>
        <v>0</v>
      </c>
      <c r="W17" s="59" t="s">
        <v>167</v>
      </c>
      <c r="X17" s="10">
        <f t="shared" si="2"/>
        <v>0</v>
      </c>
      <c r="Z17" s="59" t="s">
        <v>167</v>
      </c>
      <c r="AA17" s="10">
        <f t="shared" si="3"/>
        <v>0</v>
      </c>
      <c r="AB17" s="10">
        <f t="shared" si="4"/>
        <v>0</v>
      </c>
      <c r="AC17" s="10">
        <f t="shared" si="0"/>
        <v>0</v>
      </c>
      <c r="AD17" s="10">
        <f t="shared" si="0"/>
        <v>0</v>
      </c>
      <c r="AE17" s="10">
        <f t="shared" si="0"/>
        <v>0</v>
      </c>
      <c r="AF17" s="10">
        <f t="shared" si="5"/>
        <v>0</v>
      </c>
      <c r="AG17" s="10">
        <f t="shared" si="6"/>
        <v>0</v>
      </c>
    </row>
    <row r="18" spans="18:33" x14ac:dyDescent="0.25">
      <c r="W18" s="60" t="s">
        <v>168</v>
      </c>
      <c r="X18" s="10">
        <f t="shared" si="2"/>
        <v>0</v>
      </c>
      <c r="Z18" s="60" t="s">
        <v>168</v>
      </c>
      <c r="AA18" s="10">
        <f t="shared" si="3"/>
        <v>0</v>
      </c>
      <c r="AB18" s="10">
        <f t="shared" si="4"/>
        <v>0</v>
      </c>
      <c r="AC18" s="10">
        <f t="shared" si="0"/>
        <v>0</v>
      </c>
      <c r="AD18" s="10">
        <f t="shared" si="0"/>
        <v>0</v>
      </c>
      <c r="AE18" s="10">
        <f t="shared" si="0"/>
        <v>0</v>
      </c>
      <c r="AF18" s="10">
        <f t="shared" si="5"/>
        <v>0</v>
      </c>
      <c r="AG18" s="10">
        <f t="shared" si="6"/>
        <v>0</v>
      </c>
    </row>
    <row r="19" spans="18:33" x14ac:dyDescent="0.25">
      <c r="W19" s="59" t="s">
        <v>169</v>
      </c>
      <c r="X19" s="10">
        <f t="shared" si="2"/>
        <v>0</v>
      </c>
      <c r="Z19" s="59" t="s">
        <v>169</v>
      </c>
      <c r="AA19" s="10">
        <f t="shared" si="3"/>
        <v>0</v>
      </c>
      <c r="AB19" s="10">
        <f t="shared" si="4"/>
        <v>0</v>
      </c>
      <c r="AC19" s="10">
        <f t="shared" ref="AC19:AE26" si="7">SUMIF($A:$A,$Z19,J:J)</f>
        <v>0</v>
      </c>
      <c r="AD19" s="10">
        <f t="shared" si="7"/>
        <v>0</v>
      </c>
      <c r="AE19" s="10">
        <f t="shared" si="7"/>
        <v>0</v>
      </c>
      <c r="AF19" s="10">
        <f t="shared" si="5"/>
        <v>0</v>
      </c>
      <c r="AG19" s="10">
        <f t="shared" si="6"/>
        <v>0</v>
      </c>
    </row>
    <row r="20" spans="18:33" x14ac:dyDescent="0.25">
      <c r="W20" s="60" t="s">
        <v>170</v>
      </c>
      <c r="X20" s="10">
        <f t="shared" si="2"/>
        <v>122</v>
      </c>
      <c r="Z20" s="60" t="s">
        <v>170</v>
      </c>
      <c r="AA20" s="10">
        <f t="shared" si="3"/>
        <v>0</v>
      </c>
      <c r="AB20" s="10">
        <f t="shared" si="4"/>
        <v>0</v>
      </c>
      <c r="AC20" s="10">
        <f t="shared" si="7"/>
        <v>0</v>
      </c>
      <c r="AD20" s="10">
        <f t="shared" si="7"/>
        <v>0</v>
      </c>
      <c r="AE20" s="10">
        <f t="shared" si="7"/>
        <v>10</v>
      </c>
      <c r="AF20" s="10">
        <f t="shared" si="5"/>
        <v>10</v>
      </c>
      <c r="AG20" s="10">
        <f t="shared" si="6"/>
        <v>10</v>
      </c>
    </row>
    <row r="21" spans="18:33" x14ac:dyDescent="0.25">
      <c r="W21" s="59" t="s">
        <v>171</v>
      </c>
      <c r="X21" s="10">
        <f t="shared" si="2"/>
        <v>0</v>
      </c>
      <c r="Z21" s="59" t="s">
        <v>171</v>
      </c>
      <c r="AA21" s="10">
        <f t="shared" si="3"/>
        <v>0</v>
      </c>
      <c r="AB21" s="10">
        <f t="shared" si="4"/>
        <v>0</v>
      </c>
      <c r="AC21" s="10">
        <f t="shared" si="7"/>
        <v>0</v>
      </c>
      <c r="AD21" s="10">
        <f t="shared" si="7"/>
        <v>0</v>
      </c>
      <c r="AE21" s="10">
        <f t="shared" si="7"/>
        <v>0</v>
      </c>
      <c r="AF21" s="10">
        <f t="shared" si="5"/>
        <v>0</v>
      </c>
      <c r="AG21" s="10">
        <f t="shared" si="6"/>
        <v>0</v>
      </c>
    </row>
    <row r="22" spans="18:33" x14ac:dyDescent="0.25">
      <c r="W22" s="60" t="s">
        <v>172</v>
      </c>
      <c r="X22" s="10">
        <f t="shared" si="2"/>
        <v>0</v>
      </c>
      <c r="Z22" s="60" t="s">
        <v>172</v>
      </c>
      <c r="AA22" s="10">
        <f t="shared" si="3"/>
        <v>0</v>
      </c>
      <c r="AB22" s="10">
        <f t="shared" si="4"/>
        <v>0</v>
      </c>
      <c r="AC22" s="10">
        <f t="shared" si="7"/>
        <v>0</v>
      </c>
      <c r="AD22" s="10">
        <f t="shared" si="7"/>
        <v>0</v>
      </c>
      <c r="AE22" s="10">
        <f t="shared" si="7"/>
        <v>0</v>
      </c>
      <c r="AF22" s="10">
        <f t="shared" si="5"/>
        <v>0</v>
      </c>
      <c r="AG22" s="10">
        <f t="shared" si="6"/>
        <v>0</v>
      </c>
    </row>
    <row r="23" spans="18:33" x14ac:dyDescent="0.25">
      <c r="W23" s="59" t="s">
        <v>173</v>
      </c>
      <c r="X23" s="10">
        <f t="shared" si="2"/>
        <v>0</v>
      </c>
      <c r="Z23" s="59" t="s">
        <v>173</v>
      </c>
      <c r="AA23" s="10">
        <f t="shared" si="3"/>
        <v>0</v>
      </c>
      <c r="AB23" s="10">
        <f t="shared" si="4"/>
        <v>0</v>
      </c>
      <c r="AC23" s="10">
        <f t="shared" si="7"/>
        <v>0</v>
      </c>
      <c r="AD23" s="10">
        <f t="shared" si="7"/>
        <v>0</v>
      </c>
      <c r="AE23" s="10">
        <f t="shared" si="7"/>
        <v>0</v>
      </c>
      <c r="AF23" s="10">
        <f t="shared" si="5"/>
        <v>0</v>
      </c>
      <c r="AG23" s="10">
        <f t="shared" si="6"/>
        <v>0</v>
      </c>
    </row>
    <row r="24" spans="18:33" x14ac:dyDescent="0.25">
      <c r="W24" s="60" t="s">
        <v>174</v>
      </c>
      <c r="X24" s="10">
        <f t="shared" si="2"/>
        <v>0</v>
      </c>
      <c r="Z24" s="60" t="s">
        <v>174</v>
      </c>
      <c r="AA24" s="10">
        <f t="shared" si="3"/>
        <v>0</v>
      </c>
      <c r="AB24" s="10">
        <f t="shared" si="4"/>
        <v>0</v>
      </c>
      <c r="AC24" s="10">
        <f t="shared" si="7"/>
        <v>0</v>
      </c>
      <c r="AD24" s="10">
        <f t="shared" si="7"/>
        <v>0</v>
      </c>
      <c r="AE24" s="10">
        <f t="shared" si="7"/>
        <v>0</v>
      </c>
      <c r="AF24" s="10">
        <f t="shared" si="5"/>
        <v>0</v>
      </c>
      <c r="AG24" s="10">
        <f t="shared" si="6"/>
        <v>0</v>
      </c>
    </row>
    <row r="25" spans="18:33" x14ac:dyDescent="0.25">
      <c r="W25" s="59" t="s">
        <v>175</v>
      </c>
      <c r="X25" s="10">
        <f t="shared" si="2"/>
        <v>0</v>
      </c>
      <c r="Z25" s="59" t="s">
        <v>175</v>
      </c>
      <c r="AA25" s="10">
        <f t="shared" si="3"/>
        <v>0</v>
      </c>
      <c r="AB25" s="10">
        <f t="shared" si="4"/>
        <v>0</v>
      </c>
      <c r="AC25" s="10">
        <f t="shared" si="7"/>
        <v>0</v>
      </c>
      <c r="AD25" s="10">
        <f t="shared" si="7"/>
        <v>0</v>
      </c>
      <c r="AE25" s="10">
        <f t="shared" si="7"/>
        <v>0</v>
      </c>
      <c r="AF25" s="10">
        <f t="shared" si="5"/>
        <v>0</v>
      </c>
      <c r="AG25" s="10">
        <f t="shared" si="6"/>
        <v>0</v>
      </c>
    </row>
    <row r="26" spans="18:33" x14ac:dyDescent="0.25">
      <c r="W26" s="60" t="s">
        <v>176</v>
      </c>
      <c r="X26" s="10">
        <f t="shared" si="2"/>
        <v>0</v>
      </c>
      <c r="Z26" s="60" t="s">
        <v>176</v>
      </c>
      <c r="AA26" s="10">
        <f t="shared" si="3"/>
        <v>0</v>
      </c>
      <c r="AB26" s="10">
        <f t="shared" si="4"/>
        <v>0</v>
      </c>
      <c r="AC26" s="10">
        <f t="shared" si="7"/>
        <v>0</v>
      </c>
      <c r="AD26" s="10">
        <f t="shared" si="7"/>
        <v>0</v>
      </c>
      <c r="AE26" s="10">
        <f t="shared" si="7"/>
        <v>0</v>
      </c>
      <c r="AF26" s="10">
        <f t="shared" si="5"/>
        <v>0</v>
      </c>
      <c r="AG26" s="10">
        <f t="shared" si="6"/>
        <v>0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workbookViewId="0">
      <selection activeCell="F29" sqref="F29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RowHeight="15" x14ac:dyDescent="0.25"/>
  <cols>
    <col min="1" max="1" width="18.140625" style="47" bestFit="1" customWidth="1"/>
    <col min="2" max="2" width="15.85546875" style="47" bestFit="1" customWidth="1"/>
    <col min="3" max="3" width="11.42578125" style="47" bestFit="1" customWidth="1"/>
    <col min="4" max="4" width="11.28515625" style="47" customWidth="1"/>
    <col min="5" max="5" width="16.425781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7.85546875" style="10" bestFit="1" customWidth="1"/>
    <col min="11" max="11" width="18" style="10" bestFit="1" customWidth="1"/>
    <col min="12" max="12" width="10.28515625" style="10" bestFit="1" customWidth="1"/>
    <col min="13" max="13" width="8.85546875" style="10" bestFit="1" customWidth="1"/>
    <col min="14" max="14" width="18.140625" style="47" bestFit="1" customWidth="1"/>
    <col min="15" max="15" width="7.42578125" style="47" bestFit="1" customWidth="1"/>
    <col min="16" max="16" width="10" style="47" bestFit="1" customWidth="1"/>
    <col min="17" max="17" width="17.28515625" style="47" bestFit="1" customWidth="1"/>
    <col min="18" max="18" width="15" style="47" bestFit="1" customWidth="1"/>
    <col min="19" max="19" width="7.5703125" customWidth="1"/>
    <col min="20" max="21" width="13.5703125" style="19" bestFit="1" customWidth="1"/>
    <col min="22" max="22" width="12.28515625" style="19" customWidth="1"/>
    <col min="23" max="23" width="13.140625" style="19" customWidth="1"/>
    <col min="24" max="24" width="11.28515625" style="19" customWidth="1"/>
    <col min="25" max="25" width="7.5703125" style="19" customWidth="1"/>
    <col min="26" max="30" width="7.5703125" customWidth="1"/>
  </cols>
  <sheetData>
    <row r="1" spans="1:27" ht="36" customHeight="1" thickBot="1" x14ac:dyDescent="0.4">
      <c r="A1" s="50" t="s">
        <v>117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17"/>
      <c r="S1" s="17"/>
      <c r="T1" s="45"/>
      <c r="U1" s="45"/>
      <c r="V1" s="45"/>
      <c r="W1" s="45"/>
      <c r="X1" s="45"/>
      <c r="Y1" s="45"/>
      <c r="Z1" s="17"/>
      <c r="AA1" s="17"/>
    </row>
    <row r="2" spans="1:27" x14ac:dyDescent="0.25">
      <c r="A2"/>
      <c r="B2" s="14"/>
      <c r="C2" s="14"/>
      <c r="D2" s="14"/>
      <c r="L2" s="26"/>
      <c r="N2"/>
      <c r="O2" s="15"/>
      <c r="P2" s="15"/>
      <c r="Q2" s="19"/>
      <c r="R2" s="19"/>
      <c r="S2" s="19"/>
      <c r="T2" s="30" t="s">
        <v>90</v>
      </c>
      <c r="U2" s="30" t="s">
        <v>90</v>
      </c>
      <c r="V2" s="30" t="s">
        <v>111</v>
      </c>
      <c r="W2" s="30" t="s">
        <v>88</v>
      </c>
      <c r="X2" s="30" t="s">
        <v>103</v>
      </c>
      <c r="Y2" s="30" t="s">
        <v>113</v>
      </c>
      <c r="Z2" s="15"/>
      <c r="AA2" s="15"/>
    </row>
    <row r="3" spans="1:27" x14ac:dyDescent="0.25">
      <c r="A3" s="13" t="s">
        <v>105</v>
      </c>
      <c r="B3" s="53"/>
      <c r="C3" s="53"/>
      <c r="D3" s="53"/>
      <c r="E3" s="25"/>
      <c r="L3" s="26"/>
      <c r="N3"/>
      <c r="O3" s="15"/>
      <c r="P3" s="15"/>
      <c r="Q3" s="19"/>
      <c r="R3" s="19"/>
      <c r="S3" s="19"/>
      <c r="T3" s="31" t="str">
        <f>"&gt;="&amp;IF($B$2="",0,$B$2)</f>
        <v>&gt;=0</v>
      </c>
      <c r="U3" s="31" t="str">
        <f>"&lt;="&amp;IF($D$2="",999999,$D$2)</f>
        <v>&lt;=999999</v>
      </c>
      <c r="V3" s="31" t="str">
        <f>IF($B$3&lt;&gt;"",$B$3,"")</f>
        <v/>
      </c>
      <c r="W3" s="31" t="str">
        <f>IF($B$4&lt;&gt;"",$B$4,"")</f>
        <v/>
      </c>
      <c r="X3" s="31" t="str">
        <f>IF($B$5&lt;&gt;"",$B$5,"")</f>
        <v/>
      </c>
      <c r="Y3" s="31" t="str">
        <f>IF($B$6&lt;&gt;"",$B$6,"")</f>
        <v/>
      </c>
      <c r="Z3" s="15"/>
      <c r="AA3" s="15"/>
    </row>
    <row r="4" spans="1:27" x14ac:dyDescent="0.25">
      <c r="A4" s="13" t="s">
        <v>106</v>
      </c>
      <c r="B4" s="52"/>
      <c r="C4" s="52"/>
      <c r="D4" s="52"/>
      <c r="E4" s="25"/>
      <c r="F4" s="42"/>
      <c r="G4" s="26"/>
      <c r="H4" s="41"/>
      <c r="I4" s="41"/>
      <c r="J4" s="41"/>
      <c r="K4" s="41"/>
      <c r="L4" s="26"/>
      <c r="M4" s="26"/>
      <c r="N4" s="15"/>
      <c r="O4" s="15"/>
      <c r="P4" s="15"/>
      <c r="Q4" s="19"/>
      <c r="R4" s="19"/>
      <c r="S4" s="19"/>
      <c r="Z4" s="15"/>
      <c r="AA4" s="15"/>
    </row>
    <row r="5" spans="1:27" x14ac:dyDescent="0.25">
      <c r="A5" s="16" t="s">
        <v>108</v>
      </c>
      <c r="B5" s="52"/>
      <c r="C5" s="52"/>
      <c r="D5" s="13" t="s">
        <v>120</v>
      </c>
      <c r="E5" s="27"/>
      <c r="F5" s="43"/>
      <c r="G5" s="26"/>
      <c r="H5" s="26"/>
      <c r="I5" s="26"/>
      <c r="J5" s="26"/>
      <c r="K5" s="26"/>
      <c r="L5" s="26"/>
      <c r="M5" s="26"/>
      <c r="N5" s="15"/>
      <c r="O5" s="15"/>
      <c r="P5" s="15"/>
      <c r="Q5" s="15"/>
      <c r="R5" s="15"/>
      <c r="S5" s="15"/>
      <c r="Z5" s="15"/>
      <c r="AA5" s="15"/>
    </row>
    <row r="6" spans="1:27" x14ac:dyDescent="0.25">
      <c r="A6" s="16" t="s">
        <v>118</v>
      </c>
      <c r="B6" s="52"/>
      <c r="C6" s="52"/>
      <c r="D6" t="s">
        <v>119</v>
      </c>
      <c r="E6" s="28"/>
      <c r="F6" s="44"/>
      <c r="G6" s="33"/>
      <c r="H6" s="33"/>
      <c r="I6" s="33"/>
      <c r="J6" s="33"/>
      <c r="K6" s="33"/>
      <c r="L6" s="33"/>
      <c r="M6" s="26"/>
      <c r="N6" s="15"/>
      <c r="O6" s="15"/>
      <c r="P6" s="15"/>
      <c r="Q6" s="15"/>
      <c r="R6" s="15"/>
      <c r="S6" s="15"/>
      <c r="Z6" s="15"/>
      <c r="AA6" s="15"/>
    </row>
    <row r="7" spans="1:27" x14ac:dyDescent="0.25">
      <c r="A7" s="11" t="s">
        <v>111</v>
      </c>
      <c r="B7" s="20" t="s">
        <v>53</v>
      </c>
      <c r="C7" s="20" t="s">
        <v>114</v>
      </c>
      <c r="D7" s="11" t="s">
        <v>90</v>
      </c>
      <c r="E7" s="9" t="s">
        <v>123</v>
      </c>
      <c r="F7" s="9" t="s">
        <v>64</v>
      </c>
      <c r="G7" s="9" t="s">
        <v>67</v>
      </c>
      <c r="H7" s="9" t="s">
        <v>68</v>
      </c>
      <c r="I7" s="9" t="s">
        <v>124</v>
      </c>
      <c r="J7" s="9" t="s">
        <v>102</v>
      </c>
      <c r="K7" s="9" t="s">
        <v>122</v>
      </c>
      <c r="L7" s="9" t="s">
        <v>69</v>
      </c>
      <c r="M7" s="9" t="s">
        <v>70</v>
      </c>
      <c r="N7" s="20" t="s">
        <v>112</v>
      </c>
      <c r="O7" s="20" t="s">
        <v>113</v>
      </c>
      <c r="P7" s="20" t="s">
        <v>103</v>
      </c>
      <c r="Q7" s="20" t="s">
        <v>116</v>
      </c>
      <c r="R7" s="20" t="s">
        <v>88</v>
      </c>
    </row>
    <row r="8" spans="1:27" x14ac:dyDescent="0.25">
      <c r="A8" s="47" t="s">
        <v>153</v>
      </c>
      <c r="B8" s="47">
        <v>1</v>
      </c>
      <c r="D8" s="1" t="s">
        <v>295</v>
      </c>
      <c r="E8" s="21">
        <v>151</v>
      </c>
      <c r="F8" s="21">
        <v>13</v>
      </c>
      <c r="G8" s="21">
        <v>10</v>
      </c>
      <c r="H8" s="21">
        <v>10</v>
      </c>
      <c r="L8" s="21">
        <v>10</v>
      </c>
      <c r="M8" s="21">
        <v>194</v>
      </c>
      <c r="N8" s="1">
        <v>44253</v>
      </c>
      <c r="O8" s="47" t="s">
        <v>125</v>
      </c>
      <c r="P8" s="47" t="s">
        <v>104</v>
      </c>
      <c r="R8" s="47" t="s">
        <v>293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2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8"/>
  <sheetViews>
    <sheetView showGridLines="0" workbookViewId="0">
      <selection activeCell="A7" sqref="A7"/>
    </sheetView>
  </sheetViews>
  <sheetFormatPr defaultRowHeight="15" x14ac:dyDescent="0.25"/>
  <cols>
    <col min="1" max="1" width="18.140625" style="47" bestFit="1" customWidth="1"/>
    <col min="2" max="2" width="15.85546875" style="47" bestFit="1" customWidth="1"/>
    <col min="3" max="3" width="11.42578125" style="47" bestFit="1" customWidth="1"/>
    <col min="4" max="4" width="10.7109375" style="47" bestFit="1" customWidth="1"/>
    <col min="5" max="5" width="14.28515625" style="10" bestFit="1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2.28515625" style="10" bestFit="1" customWidth="1"/>
    <col min="11" max="11" width="18.5703125" style="10" bestFit="1" customWidth="1"/>
    <col min="12" max="12" width="19.140625" style="10" bestFit="1" customWidth="1"/>
    <col min="13" max="13" width="11.140625" style="10" bestFit="1" customWidth="1"/>
    <col min="14" max="14" width="18.140625" style="47" bestFit="1" customWidth="1"/>
    <col min="15" max="15" width="7.42578125" style="47" bestFit="1" customWidth="1"/>
    <col min="16" max="16" width="10" style="47" bestFit="1" customWidth="1"/>
    <col min="17" max="17" width="17.28515625" style="47" bestFit="1" customWidth="1"/>
    <col min="18" max="18" width="15" style="47" bestFit="1" customWidth="1"/>
    <col min="19" max="30" width="7.5703125" customWidth="1"/>
  </cols>
  <sheetData>
    <row r="1" spans="1:27" ht="36" customHeight="1" thickBot="1" x14ac:dyDescent="0.4">
      <c r="A1" s="50" t="s">
        <v>126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x14ac:dyDescent="0.25">
      <c r="A2"/>
      <c r="B2" s="14"/>
      <c r="C2" s="12"/>
      <c r="D2" s="14"/>
      <c r="F2" s="29" t="s">
        <v>90</v>
      </c>
      <c r="G2" s="29" t="s">
        <v>90</v>
      </c>
      <c r="H2" s="30" t="s">
        <v>111</v>
      </c>
      <c r="I2" s="30" t="s">
        <v>88</v>
      </c>
      <c r="J2" s="30" t="s">
        <v>103</v>
      </c>
      <c r="K2" s="30" t="s">
        <v>113</v>
      </c>
      <c r="L2" s="33"/>
      <c r="M2" s="33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5"/>
      <c r="AA2" s="15"/>
    </row>
    <row r="3" spans="1:27" x14ac:dyDescent="0.25">
      <c r="A3" s="13" t="s">
        <v>105</v>
      </c>
      <c r="B3" s="53"/>
      <c r="C3" s="53"/>
      <c r="D3" s="53"/>
      <c r="E3" s="25"/>
      <c r="F3" s="31" t="str">
        <f>"&gt;="&amp;IF($B$2="",0,$B$2)</f>
        <v>&gt;=0</v>
      </c>
      <c r="G3" s="31" t="str">
        <f>"&lt;="&amp;IF($D$2="",99999,$D$2)</f>
        <v>&lt;=99999</v>
      </c>
      <c r="H3" s="31" t="str">
        <f>IF($B$3&lt;&gt;"",$B$3,"")</f>
        <v/>
      </c>
      <c r="I3" s="31" t="str">
        <f>IF($B$4&lt;&gt;"",$B$4,"")</f>
        <v/>
      </c>
      <c r="J3" s="31" t="str">
        <f>IF($B$5&lt;&gt;"",$B$5,"")</f>
        <v/>
      </c>
      <c r="K3" s="31" t="str">
        <f>IF($B$6&lt;&gt;"",$B$6,"")</f>
        <v/>
      </c>
      <c r="L3" s="33"/>
      <c r="M3" s="33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5"/>
      <c r="AA3" s="15"/>
    </row>
    <row r="4" spans="1:27" x14ac:dyDescent="0.25">
      <c r="A4" s="13" t="s">
        <v>106</v>
      </c>
      <c r="B4" s="52"/>
      <c r="C4" s="52"/>
      <c r="D4" s="52"/>
      <c r="E4" s="25"/>
      <c r="F4" s="34"/>
      <c r="G4" s="33"/>
      <c r="H4" s="35"/>
      <c r="I4" s="35"/>
      <c r="J4" s="35"/>
      <c r="K4" s="35"/>
      <c r="L4" s="33"/>
      <c r="M4" s="33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5"/>
      <c r="AA4" s="15"/>
    </row>
    <row r="5" spans="1:27" x14ac:dyDescent="0.25">
      <c r="A5" s="16" t="s">
        <v>108</v>
      </c>
      <c r="B5" s="52"/>
      <c r="C5" s="52"/>
      <c r="D5" s="13" t="s">
        <v>120</v>
      </c>
      <c r="E5" s="27"/>
      <c r="F5" s="36"/>
      <c r="G5" s="33"/>
      <c r="H5" s="33"/>
      <c r="I5" s="33"/>
      <c r="J5" s="33"/>
      <c r="K5" s="33"/>
      <c r="L5" s="33"/>
      <c r="M5" s="33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5"/>
      <c r="AA5" s="15"/>
    </row>
    <row r="6" spans="1:27" x14ac:dyDescent="0.25">
      <c r="A6" s="16" t="s">
        <v>118</v>
      </c>
      <c r="B6" s="52"/>
      <c r="C6" s="52"/>
      <c r="D6" t="s">
        <v>119</v>
      </c>
      <c r="E6" s="28"/>
      <c r="F6" s="37"/>
      <c r="G6" s="33"/>
      <c r="H6" s="33"/>
      <c r="I6" s="33"/>
      <c r="J6" s="33"/>
      <c r="K6" s="33"/>
      <c r="L6" s="33"/>
      <c r="M6" s="26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</row>
    <row r="7" spans="1:27" x14ac:dyDescent="0.25">
      <c r="A7" s="23" t="s">
        <v>111</v>
      </c>
      <c r="B7" s="20" t="s">
        <v>53</v>
      </c>
      <c r="C7" s="20" t="s">
        <v>114</v>
      </c>
      <c r="D7" s="11" t="s">
        <v>90</v>
      </c>
      <c r="E7" s="11" t="s">
        <v>62</v>
      </c>
      <c r="F7" s="11" t="s">
        <v>64</v>
      </c>
      <c r="G7" s="11" t="s">
        <v>67</v>
      </c>
      <c r="H7" s="11" t="s">
        <v>68</v>
      </c>
      <c r="I7" s="11" t="s">
        <v>52</v>
      </c>
      <c r="J7" s="11" t="s">
        <v>102</v>
      </c>
      <c r="K7" s="11" t="s">
        <v>127</v>
      </c>
      <c r="L7" s="11" t="s">
        <v>69</v>
      </c>
      <c r="M7" s="11" t="s">
        <v>70</v>
      </c>
      <c r="N7" s="11" t="s">
        <v>112</v>
      </c>
      <c r="O7" s="11" t="s">
        <v>113</v>
      </c>
      <c r="P7" s="11" t="s">
        <v>103</v>
      </c>
      <c r="Q7" s="11" t="s">
        <v>87</v>
      </c>
      <c r="R7" s="24" t="s">
        <v>88</v>
      </c>
    </row>
    <row r="8" spans="1:27" x14ac:dyDescent="0.25">
      <c r="A8" s="47" t="s">
        <v>154</v>
      </c>
      <c r="B8" s="47">
        <v>2</v>
      </c>
      <c r="D8" s="40" t="s">
        <v>302</v>
      </c>
      <c r="E8" s="21">
        <v>300</v>
      </c>
      <c r="F8" s="21">
        <v>1</v>
      </c>
      <c r="G8" s="21">
        <v>1</v>
      </c>
      <c r="H8" s="21">
        <v>1</v>
      </c>
      <c r="I8" s="21">
        <v>1</v>
      </c>
      <c r="J8" s="21">
        <v>1</v>
      </c>
      <c r="K8" s="21">
        <v>1</v>
      </c>
      <c r="L8" s="21">
        <v>1</v>
      </c>
      <c r="M8" s="21">
        <v>309</v>
      </c>
      <c r="N8" s="1">
        <v>44253</v>
      </c>
      <c r="O8" s="47" t="s">
        <v>115</v>
      </c>
      <c r="P8" s="47" t="s">
        <v>104</v>
      </c>
      <c r="R8" s="47" t="s">
        <v>304</v>
      </c>
    </row>
  </sheetData>
  <autoFilter ref="A7:R7" xr:uid="{F1190A43-5E1B-4D50-B7C1-F717B524179C}"/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2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26"/>
  <sheetViews>
    <sheetView workbookViewId="0">
      <selection activeCell="E5" sqref="E5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7109375" bestFit="1" customWidth="1"/>
    <col min="24" max="24" width="10.140625" bestFit="1" customWidth="1"/>
    <col min="27" max="28" width="10.140625" bestFit="1" customWidth="1"/>
    <col min="31" max="31" width="10.140625" bestFit="1" customWidth="1"/>
    <col min="33" max="33" width="11.7109375" bestFit="1" customWidth="1"/>
  </cols>
  <sheetData>
    <row r="1" spans="1:33" ht="56.25" customHeight="1" x14ac:dyDescent="0.25"/>
    <row r="2" spans="1:33" x14ac:dyDescent="0.25">
      <c r="A2" s="32" t="s">
        <v>111</v>
      </c>
      <c r="B2" s="32" t="s">
        <v>53</v>
      </c>
      <c r="C2" s="32" t="s">
        <v>114</v>
      </c>
      <c r="D2" s="32" t="s">
        <v>90</v>
      </c>
      <c r="E2" s="32" t="s">
        <v>62</v>
      </c>
      <c r="F2" s="32" t="s">
        <v>64</v>
      </c>
      <c r="G2" s="32" t="s">
        <v>67</v>
      </c>
      <c r="H2" s="32" t="s">
        <v>68</v>
      </c>
      <c r="I2" s="32" t="s">
        <v>52</v>
      </c>
      <c r="J2" s="32" t="s">
        <v>102</v>
      </c>
      <c r="K2" s="32" t="s">
        <v>69</v>
      </c>
      <c r="L2" s="32" t="s">
        <v>70</v>
      </c>
      <c r="M2" s="32" t="s">
        <v>113</v>
      </c>
      <c r="N2" s="32" t="s">
        <v>103</v>
      </c>
      <c r="O2" s="32" t="s">
        <v>87</v>
      </c>
      <c r="P2" s="32" t="s">
        <v>88</v>
      </c>
      <c r="Q2" s="32" t="s">
        <v>127</v>
      </c>
      <c r="R2" s="54" t="s">
        <v>128</v>
      </c>
      <c r="S2" s="54"/>
      <c r="U2" s="54" t="s">
        <v>129</v>
      </c>
      <c r="V2" s="54"/>
      <c r="Z2" s="39" t="s">
        <v>134</v>
      </c>
      <c r="AA2" s="39" t="s">
        <v>131</v>
      </c>
      <c r="AB2" s="39" t="s">
        <v>132</v>
      </c>
      <c r="AC2" s="39" t="s">
        <v>133</v>
      </c>
      <c r="AD2" s="39" t="s">
        <v>135</v>
      </c>
      <c r="AE2" s="39" t="s">
        <v>136</v>
      </c>
      <c r="AF2" s="39" t="s">
        <v>137</v>
      </c>
      <c r="AG2" s="39" t="s">
        <v>138</v>
      </c>
    </row>
    <row r="3" spans="1:33" x14ac:dyDescent="0.25">
      <c r="A3" s="47" t="s">
        <v>154</v>
      </c>
      <c r="B3" s="47">
        <v>2</v>
      </c>
      <c r="C3" s="47" t="s">
        <v>121</v>
      </c>
      <c r="D3" s="1" t="s">
        <v>302</v>
      </c>
      <c r="E3" s="47">
        <v>300</v>
      </c>
      <c r="F3" s="47">
        <v>1</v>
      </c>
      <c r="G3" s="47">
        <v>1</v>
      </c>
      <c r="H3" s="47">
        <v>1</v>
      </c>
      <c r="I3" s="47">
        <v>1</v>
      </c>
      <c r="J3" s="47">
        <v>1</v>
      </c>
      <c r="K3" s="47">
        <v>1</v>
      </c>
      <c r="L3" s="47">
        <v>309</v>
      </c>
      <c r="M3" s="47" t="s">
        <v>115</v>
      </c>
      <c r="N3" s="47" t="s">
        <v>104</v>
      </c>
      <c r="O3" s="1" t="s">
        <v>121</v>
      </c>
      <c r="P3" s="47" t="s">
        <v>304</v>
      </c>
      <c r="Q3" s="47">
        <v>1</v>
      </c>
      <c r="R3" s="57" t="s">
        <v>304</v>
      </c>
      <c r="S3" s="10">
        <f>SUMIF(P:P,$R3,L:L)</f>
        <v>659</v>
      </c>
      <c r="U3" t="s">
        <v>115</v>
      </c>
      <c r="V3" s="10">
        <f>SUMIF(M:M,U3,L:L)</f>
        <v>309</v>
      </c>
      <c r="W3" s="59" t="s">
        <v>153</v>
      </c>
      <c r="Z3" s="59" t="s">
        <v>153</v>
      </c>
      <c r="AA3" s="10">
        <f>SUMIF($A:$A,$Z3,F:F)</f>
        <v>0</v>
      </c>
      <c r="AB3" s="10">
        <f>SUMIF($A:$A,$Z3,$G:$G)</f>
        <v>0</v>
      </c>
      <c r="AC3" s="10">
        <f>SUMIF($A:$A,$Z3,H:H)</f>
        <v>0</v>
      </c>
      <c r="AD3" s="10">
        <f>SUMIF($A:$A,$Z3,I:I)</f>
        <v>0</v>
      </c>
      <c r="AE3" s="10">
        <f>SUMIF($A:$A,$Z3,J:J)</f>
        <v>0</v>
      </c>
      <c r="AF3" s="10">
        <f>SUMIF($A:$A,$Z3,Q:Q)</f>
        <v>0</v>
      </c>
      <c r="AG3" s="10">
        <f>SUMIF($A:$A,$Z3,K:K)</f>
        <v>0</v>
      </c>
    </row>
    <row r="4" spans="1:33" x14ac:dyDescent="0.25">
      <c r="A4" s="47" t="s">
        <v>155</v>
      </c>
      <c r="B4" s="47">
        <v>158</v>
      </c>
      <c r="C4" s="47" t="s">
        <v>121</v>
      </c>
      <c r="D4" s="1">
        <v>44257</v>
      </c>
      <c r="E4" s="47">
        <v>350</v>
      </c>
      <c r="F4" s="47">
        <v>0</v>
      </c>
      <c r="G4" s="47">
        <v>0</v>
      </c>
      <c r="H4" s="47">
        <v>0</v>
      </c>
      <c r="I4" s="47" t="s">
        <v>121</v>
      </c>
      <c r="J4" s="47" t="s">
        <v>121</v>
      </c>
      <c r="K4" s="47">
        <v>0</v>
      </c>
      <c r="L4" s="47">
        <v>350</v>
      </c>
      <c r="M4" s="47" t="s">
        <v>125</v>
      </c>
      <c r="N4" s="47" t="s">
        <v>104</v>
      </c>
      <c r="O4" s="1" t="s">
        <v>121</v>
      </c>
      <c r="P4" s="47" t="s">
        <v>304</v>
      </c>
      <c r="Q4" s="47" t="s">
        <v>121</v>
      </c>
      <c r="R4" s="58" t="s">
        <v>305</v>
      </c>
      <c r="S4" s="10">
        <f t="shared" ref="S4:S17" si="0">SUMIF(P:P,$R4,L:L)</f>
        <v>0</v>
      </c>
      <c r="U4" t="s">
        <v>125</v>
      </c>
      <c r="V4" s="10">
        <f>SUMIF(M:M,U4,L:L)</f>
        <v>350</v>
      </c>
      <c r="W4" s="60" t="s">
        <v>154</v>
      </c>
      <c r="X4" s="47"/>
      <c r="Z4" s="60" t="s">
        <v>154</v>
      </c>
      <c r="AA4" s="10">
        <f t="shared" ref="AA4:AA26" si="1">SUMIF($A:$A,$Z4,F:F)</f>
        <v>1</v>
      </c>
      <c r="AB4" s="10">
        <f t="shared" ref="AB4:AB26" si="2">SUMIF($A:$A,$Z4,$G:$G)</f>
        <v>1</v>
      </c>
      <c r="AC4" s="10">
        <f t="shared" ref="AC4:AC26" si="3">SUMIF($A:$A,$Z4,H:H)</f>
        <v>1</v>
      </c>
      <c r="AD4" s="10">
        <f t="shared" ref="AD4:AD26" si="4">SUMIF($A:$A,$Z4,I:I)</f>
        <v>1</v>
      </c>
      <c r="AE4" s="10">
        <f t="shared" ref="AE4:AE26" si="5">SUMIF($A:$A,$Z4,J:J)</f>
        <v>1</v>
      </c>
      <c r="AF4" s="10">
        <f t="shared" ref="AF4:AF26" si="6">SUMIF($A:$A,$Z4,Q:Q)</f>
        <v>1</v>
      </c>
      <c r="AG4" s="10">
        <f t="shared" ref="AG4:AG26" si="7">SUMIF($A:$A,$Z4,K:K)</f>
        <v>1</v>
      </c>
    </row>
    <row r="5" spans="1:33" x14ac:dyDescent="0.25">
      <c r="R5" s="57" t="s">
        <v>306</v>
      </c>
      <c r="S5" s="10">
        <f t="shared" si="0"/>
        <v>0</v>
      </c>
      <c r="W5" s="59" t="s">
        <v>155</v>
      </c>
      <c r="X5" s="47"/>
      <c r="Z5" s="59" t="s">
        <v>155</v>
      </c>
      <c r="AA5" s="10">
        <f t="shared" si="1"/>
        <v>0</v>
      </c>
      <c r="AB5" s="10">
        <f t="shared" si="2"/>
        <v>0</v>
      </c>
      <c r="AC5" s="10">
        <f t="shared" si="3"/>
        <v>0</v>
      </c>
      <c r="AD5" s="10">
        <f t="shared" si="4"/>
        <v>0</v>
      </c>
      <c r="AE5" s="10">
        <f t="shared" si="5"/>
        <v>0</v>
      </c>
      <c r="AF5" s="10">
        <f t="shared" si="6"/>
        <v>0</v>
      </c>
      <c r="AG5" s="10">
        <f t="shared" si="7"/>
        <v>0</v>
      </c>
    </row>
    <row r="6" spans="1:33" x14ac:dyDescent="0.25">
      <c r="R6" s="58" t="s">
        <v>307</v>
      </c>
      <c r="S6" s="10">
        <f t="shared" si="0"/>
        <v>0</v>
      </c>
      <c r="W6" s="60" t="s">
        <v>156</v>
      </c>
      <c r="X6" s="47"/>
      <c r="Z6" s="60" t="s">
        <v>156</v>
      </c>
      <c r="AA6" s="10">
        <f t="shared" si="1"/>
        <v>0</v>
      </c>
      <c r="AB6" s="10">
        <f t="shared" si="2"/>
        <v>0</v>
      </c>
      <c r="AC6" s="10">
        <f t="shared" si="3"/>
        <v>0</v>
      </c>
      <c r="AD6" s="10">
        <f t="shared" si="4"/>
        <v>0</v>
      </c>
      <c r="AE6" s="10">
        <f t="shared" si="5"/>
        <v>0</v>
      </c>
      <c r="AF6" s="10">
        <f t="shared" si="6"/>
        <v>0</v>
      </c>
      <c r="AG6" s="10">
        <f t="shared" si="7"/>
        <v>0</v>
      </c>
    </row>
    <row r="7" spans="1:33" x14ac:dyDescent="0.25">
      <c r="R7" s="57" t="s">
        <v>308</v>
      </c>
      <c r="S7" s="10">
        <f t="shared" si="0"/>
        <v>0</v>
      </c>
      <c r="W7" s="59" t="s">
        <v>157</v>
      </c>
      <c r="X7" s="47"/>
      <c r="Z7" s="59" t="s">
        <v>157</v>
      </c>
      <c r="AA7" s="10">
        <f t="shared" si="1"/>
        <v>0</v>
      </c>
      <c r="AB7" s="10">
        <f t="shared" si="2"/>
        <v>0</v>
      </c>
      <c r="AC7" s="10">
        <f t="shared" si="3"/>
        <v>0</v>
      </c>
      <c r="AD7" s="10">
        <f t="shared" si="4"/>
        <v>0</v>
      </c>
      <c r="AE7" s="10">
        <f t="shared" si="5"/>
        <v>0</v>
      </c>
      <c r="AF7" s="10">
        <f t="shared" si="6"/>
        <v>0</v>
      </c>
      <c r="AG7" s="10">
        <f t="shared" si="7"/>
        <v>0</v>
      </c>
    </row>
    <row r="8" spans="1:33" x14ac:dyDescent="0.25">
      <c r="R8" s="58" t="s">
        <v>309</v>
      </c>
      <c r="S8" s="10">
        <f t="shared" si="0"/>
        <v>0</v>
      </c>
      <c r="W8" s="60" t="s">
        <v>158</v>
      </c>
      <c r="X8" s="47"/>
      <c r="Z8" s="60" t="s">
        <v>158</v>
      </c>
      <c r="AA8" s="10">
        <f t="shared" si="1"/>
        <v>0</v>
      </c>
      <c r="AB8" s="10">
        <f t="shared" si="2"/>
        <v>0</v>
      </c>
      <c r="AC8" s="10">
        <f t="shared" si="3"/>
        <v>0</v>
      </c>
      <c r="AD8" s="10">
        <f t="shared" si="4"/>
        <v>0</v>
      </c>
      <c r="AE8" s="10">
        <f t="shared" si="5"/>
        <v>0</v>
      </c>
      <c r="AF8" s="10">
        <f t="shared" si="6"/>
        <v>0</v>
      </c>
      <c r="AG8" s="10">
        <f t="shared" si="7"/>
        <v>0</v>
      </c>
    </row>
    <row r="9" spans="1:33" x14ac:dyDescent="0.25">
      <c r="R9" s="57" t="s">
        <v>310</v>
      </c>
      <c r="S9" s="10">
        <f t="shared" si="0"/>
        <v>0</v>
      </c>
      <c r="W9" s="59" t="s">
        <v>159</v>
      </c>
      <c r="X9" s="47"/>
      <c r="Z9" s="59" t="s">
        <v>159</v>
      </c>
      <c r="AA9" s="10">
        <f t="shared" si="1"/>
        <v>0</v>
      </c>
      <c r="AB9" s="10">
        <f t="shared" si="2"/>
        <v>0</v>
      </c>
      <c r="AC9" s="10">
        <f t="shared" si="3"/>
        <v>0</v>
      </c>
      <c r="AD9" s="10">
        <f t="shared" si="4"/>
        <v>0</v>
      </c>
      <c r="AE9" s="10">
        <f t="shared" si="5"/>
        <v>0</v>
      </c>
      <c r="AF9" s="10">
        <f t="shared" si="6"/>
        <v>0</v>
      </c>
      <c r="AG9" s="10">
        <f t="shared" si="7"/>
        <v>0</v>
      </c>
    </row>
    <row r="10" spans="1:33" x14ac:dyDescent="0.25">
      <c r="R10" s="58" t="s">
        <v>323</v>
      </c>
      <c r="S10" s="10">
        <f t="shared" si="0"/>
        <v>0</v>
      </c>
      <c r="W10" s="60" t="s">
        <v>160</v>
      </c>
      <c r="X10" s="47"/>
      <c r="Z10" s="60" t="s">
        <v>160</v>
      </c>
      <c r="AA10" s="10">
        <f t="shared" si="1"/>
        <v>0</v>
      </c>
      <c r="AB10" s="10">
        <f t="shared" si="2"/>
        <v>0</v>
      </c>
      <c r="AC10" s="10">
        <f t="shared" si="3"/>
        <v>0</v>
      </c>
      <c r="AD10" s="10">
        <f t="shared" si="4"/>
        <v>0</v>
      </c>
      <c r="AE10" s="10">
        <f t="shared" si="5"/>
        <v>0</v>
      </c>
      <c r="AF10" s="10">
        <f t="shared" si="6"/>
        <v>0</v>
      </c>
      <c r="AG10" s="10">
        <f t="shared" si="7"/>
        <v>0</v>
      </c>
    </row>
    <row r="11" spans="1:33" x14ac:dyDescent="0.25">
      <c r="R11" s="57" t="s">
        <v>311</v>
      </c>
      <c r="S11" s="10">
        <f t="shared" si="0"/>
        <v>0</v>
      </c>
      <c r="W11" s="59" t="s">
        <v>161</v>
      </c>
      <c r="X11" s="47"/>
      <c r="Z11" s="59" t="s">
        <v>161</v>
      </c>
      <c r="AA11" s="10">
        <f t="shared" si="1"/>
        <v>0</v>
      </c>
      <c r="AB11" s="10">
        <f t="shared" si="2"/>
        <v>0</v>
      </c>
      <c r="AC11" s="10">
        <f t="shared" si="3"/>
        <v>0</v>
      </c>
      <c r="AD11" s="10">
        <f t="shared" si="4"/>
        <v>0</v>
      </c>
      <c r="AE11" s="10">
        <f t="shared" si="5"/>
        <v>0</v>
      </c>
      <c r="AF11" s="10">
        <f t="shared" si="6"/>
        <v>0</v>
      </c>
      <c r="AG11" s="10">
        <f t="shared" si="7"/>
        <v>0</v>
      </c>
    </row>
    <row r="12" spans="1:33" x14ac:dyDescent="0.25">
      <c r="R12" s="58" t="s">
        <v>312</v>
      </c>
      <c r="S12" s="10">
        <f t="shared" si="0"/>
        <v>0</v>
      </c>
      <c r="W12" s="60" t="s">
        <v>162</v>
      </c>
      <c r="X12" s="47"/>
      <c r="Z12" s="60" t="s">
        <v>162</v>
      </c>
      <c r="AA12" s="10">
        <f t="shared" si="1"/>
        <v>0</v>
      </c>
      <c r="AB12" s="10">
        <f t="shared" si="2"/>
        <v>0</v>
      </c>
      <c r="AC12" s="10">
        <f t="shared" si="3"/>
        <v>0</v>
      </c>
      <c r="AD12" s="10">
        <f t="shared" si="4"/>
        <v>0</v>
      </c>
      <c r="AE12" s="10">
        <f t="shared" si="5"/>
        <v>0</v>
      </c>
      <c r="AF12" s="10">
        <f t="shared" si="6"/>
        <v>0</v>
      </c>
      <c r="AG12" s="10">
        <f t="shared" si="7"/>
        <v>0</v>
      </c>
    </row>
    <row r="13" spans="1:33" x14ac:dyDescent="0.25">
      <c r="R13" s="57" t="s">
        <v>313</v>
      </c>
      <c r="S13" s="10">
        <f t="shared" si="0"/>
        <v>0</v>
      </c>
      <c r="W13" s="59" t="s">
        <v>163</v>
      </c>
      <c r="X13" s="47"/>
      <c r="Z13" s="59" t="s">
        <v>163</v>
      </c>
      <c r="AA13" s="10">
        <f t="shared" si="1"/>
        <v>0</v>
      </c>
      <c r="AB13" s="10">
        <f t="shared" si="2"/>
        <v>0</v>
      </c>
      <c r="AC13" s="10">
        <f t="shared" si="3"/>
        <v>0</v>
      </c>
      <c r="AD13" s="10">
        <f t="shared" si="4"/>
        <v>0</v>
      </c>
      <c r="AE13" s="10">
        <f t="shared" si="5"/>
        <v>0</v>
      </c>
      <c r="AF13" s="10">
        <f t="shared" si="6"/>
        <v>0</v>
      </c>
      <c r="AG13" s="10">
        <f t="shared" si="7"/>
        <v>0</v>
      </c>
    </row>
    <row r="14" spans="1:33" x14ac:dyDescent="0.25">
      <c r="R14" s="58" t="s">
        <v>314</v>
      </c>
      <c r="S14" s="10">
        <f t="shared" si="0"/>
        <v>0</v>
      </c>
      <c r="W14" s="60" t="s">
        <v>164</v>
      </c>
      <c r="X14" s="47"/>
      <c r="Z14" s="60" t="s">
        <v>164</v>
      </c>
      <c r="AA14" s="10">
        <f t="shared" si="1"/>
        <v>0</v>
      </c>
      <c r="AB14" s="10">
        <f t="shared" si="2"/>
        <v>0</v>
      </c>
      <c r="AC14" s="10">
        <f t="shared" si="3"/>
        <v>0</v>
      </c>
      <c r="AD14" s="10">
        <f t="shared" si="4"/>
        <v>0</v>
      </c>
      <c r="AE14" s="10">
        <f t="shared" si="5"/>
        <v>0</v>
      </c>
      <c r="AF14" s="10">
        <f t="shared" si="6"/>
        <v>0</v>
      </c>
      <c r="AG14" s="10">
        <f t="shared" si="7"/>
        <v>0</v>
      </c>
    </row>
    <row r="15" spans="1:33" x14ac:dyDescent="0.25">
      <c r="R15" s="57" t="s">
        <v>315</v>
      </c>
      <c r="S15" s="10">
        <f t="shared" si="0"/>
        <v>0</v>
      </c>
      <c r="W15" s="59" t="s">
        <v>165</v>
      </c>
      <c r="X15" s="47"/>
      <c r="Z15" s="59" t="s">
        <v>165</v>
      </c>
      <c r="AA15" s="10">
        <f t="shared" si="1"/>
        <v>0</v>
      </c>
      <c r="AB15" s="10">
        <f t="shared" si="2"/>
        <v>0</v>
      </c>
      <c r="AC15" s="10">
        <f t="shared" si="3"/>
        <v>0</v>
      </c>
      <c r="AD15" s="10">
        <f t="shared" si="4"/>
        <v>0</v>
      </c>
      <c r="AE15" s="10">
        <f t="shared" si="5"/>
        <v>0</v>
      </c>
      <c r="AF15" s="10">
        <f t="shared" si="6"/>
        <v>0</v>
      </c>
      <c r="AG15" s="10">
        <f t="shared" si="7"/>
        <v>0</v>
      </c>
    </row>
    <row r="16" spans="1:33" x14ac:dyDescent="0.25">
      <c r="R16" s="58" t="s">
        <v>316</v>
      </c>
      <c r="S16" s="10">
        <f t="shared" si="0"/>
        <v>0</v>
      </c>
      <c r="W16" s="60" t="s">
        <v>166</v>
      </c>
      <c r="X16" s="47"/>
      <c r="Z16" s="60" t="s">
        <v>166</v>
      </c>
      <c r="AA16" s="10">
        <f t="shared" si="1"/>
        <v>0</v>
      </c>
      <c r="AB16" s="10">
        <f t="shared" si="2"/>
        <v>0</v>
      </c>
      <c r="AC16" s="10">
        <f t="shared" si="3"/>
        <v>0</v>
      </c>
      <c r="AD16" s="10">
        <f t="shared" si="4"/>
        <v>0</v>
      </c>
      <c r="AE16" s="10">
        <f t="shared" si="5"/>
        <v>0</v>
      </c>
      <c r="AF16" s="10">
        <f t="shared" si="6"/>
        <v>0</v>
      </c>
      <c r="AG16" s="10">
        <f t="shared" si="7"/>
        <v>0</v>
      </c>
    </row>
    <row r="17" spans="18:33" x14ac:dyDescent="0.25">
      <c r="R17" s="57" t="s">
        <v>317</v>
      </c>
      <c r="S17" s="10">
        <f t="shared" si="0"/>
        <v>0</v>
      </c>
      <c r="W17" s="59" t="s">
        <v>167</v>
      </c>
      <c r="X17" s="47"/>
      <c r="Z17" s="59" t="s">
        <v>167</v>
      </c>
      <c r="AA17" s="10">
        <f t="shared" si="1"/>
        <v>0</v>
      </c>
      <c r="AB17" s="10">
        <f t="shared" si="2"/>
        <v>0</v>
      </c>
      <c r="AC17" s="10">
        <f t="shared" si="3"/>
        <v>0</v>
      </c>
      <c r="AD17" s="10">
        <f t="shared" si="4"/>
        <v>0</v>
      </c>
      <c r="AE17" s="10">
        <f t="shared" si="5"/>
        <v>0</v>
      </c>
      <c r="AF17" s="10">
        <f t="shared" si="6"/>
        <v>0</v>
      </c>
      <c r="AG17" s="10">
        <f t="shared" si="7"/>
        <v>0</v>
      </c>
    </row>
    <row r="18" spans="18:33" x14ac:dyDescent="0.25">
      <c r="S18" s="10"/>
      <c r="W18" s="60" t="s">
        <v>168</v>
      </c>
      <c r="X18" s="47"/>
      <c r="Z18" s="60" t="s">
        <v>168</v>
      </c>
      <c r="AA18" s="10">
        <f t="shared" si="1"/>
        <v>0</v>
      </c>
      <c r="AB18" s="10">
        <f t="shared" si="2"/>
        <v>0</v>
      </c>
      <c r="AC18" s="10">
        <f t="shared" si="3"/>
        <v>0</v>
      </c>
      <c r="AD18" s="10">
        <f t="shared" si="4"/>
        <v>0</v>
      </c>
      <c r="AE18" s="10">
        <f t="shared" si="5"/>
        <v>0</v>
      </c>
      <c r="AF18" s="10">
        <f t="shared" si="6"/>
        <v>0</v>
      </c>
      <c r="AG18" s="10">
        <f t="shared" si="7"/>
        <v>0</v>
      </c>
    </row>
    <row r="19" spans="18:33" x14ac:dyDescent="0.25">
      <c r="S19" s="10"/>
      <c r="W19" s="59" t="s">
        <v>169</v>
      </c>
      <c r="X19" s="47"/>
      <c r="Z19" s="59" t="s">
        <v>169</v>
      </c>
      <c r="AA19" s="10">
        <f t="shared" si="1"/>
        <v>0</v>
      </c>
      <c r="AB19" s="10">
        <f t="shared" si="2"/>
        <v>0</v>
      </c>
      <c r="AC19" s="10">
        <f t="shared" si="3"/>
        <v>0</v>
      </c>
      <c r="AD19" s="10">
        <f t="shared" si="4"/>
        <v>0</v>
      </c>
      <c r="AE19" s="10">
        <f t="shared" si="5"/>
        <v>0</v>
      </c>
      <c r="AF19" s="10">
        <f t="shared" si="6"/>
        <v>0</v>
      </c>
      <c r="AG19" s="10">
        <f t="shared" si="7"/>
        <v>0</v>
      </c>
    </row>
    <row r="20" spans="18:33" x14ac:dyDescent="0.25">
      <c r="S20" s="10"/>
      <c r="W20" s="60" t="s">
        <v>170</v>
      </c>
      <c r="X20" s="47"/>
      <c r="Z20" s="60" t="s">
        <v>170</v>
      </c>
      <c r="AA20" s="10">
        <f t="shared" si="1"/>
        <v>0</v>
      </c>
      <c r="AB20" s="10">
        <f t="shared" si="2"/>
        <v>0</v>
      </c>
      <c r="AC20" s="10">
        <f t="shared" si="3"/>
        <v>0</v>
      </c>
      <c r="AD20" s="10">
        <f t="shared" si="4"/>
        <v>0</v>
      </c>
      <c r="AE20" s="10">
        <f t="shared" si="5"/>
        <v>0</v>
      </c>
      <c r="AF20" s="10">
        <f t="shared" si="6"/>
        <v>0</v>
      </c>
      <c r="AG20" s="10">
        <f t="shared" si="7"/>
        <v>0</v>
      </c>
    </row>
    <row r="21" spans="18:33" x14ac:dyDescent="0.25">
      <c r="W21" s="59" t="s">
        <v>171</v>
      </c>
      <c r="X21" s="47"/>
      <c r="Z21" s="59" t="s">
        <v>171</v>
      </c>
      <c r="AA21" s="10">
        <f t="shared" si="1"/>
        <v>0</v>
      </c>
      <c r="AB21" s="10">
        <f t="shared" si="2"/>
        <v>0</v>
      </c>
      <c r="AC21" s="10">
        <f t="shared" si="3"/>
        <v>0</v>
      </c>
      <c r="AD21" s="10">
        <f t="shared" si="4"/>
        <v>0</v>
      </c>
      <c r="AE21" s="10">
        <f t="shared" si="5"/>
        <v>0</v>
      </c>
      <c r="AF21" s="10">
        <f t="shared" si="6"/>
        <v>0</v>
      </c>
      <c r="AG21" s="10">
        <f t="shared" si="7"/>
        <v>0</v>
      </c>
    </row>
    <row r="22" spans="18:33" x14ac:dyDescent="0.25">
      <c r="W22" s="60" t="s">
        <v>172</v>
      </c>
      <c r="X22" s="47"/>
      <c r="Z22" s="60" t="s">
        <v>172</v>
      </c>
      <c r="AA22" s="10">
        <f t="shared" si="1"/>
        <v>0</v>
      </c>
      <c r="AB22" s="10">
        <f t="shared" si="2"/>
        <v>0</v>
      </c>
      <c r="AC22" s="10">
        <f t="shared" si="3"/>
        <v>0</v>
      </c>
      <c r="AD22" s="10">
        <f t="shared" si="4"/>
        <v>0</v>
      </c>
      <c r="AE22" s="10">
        <f t="shared" si="5"/>
        <v>0</v>
      </c>
      <c r="AF22" s="10">
        <f t="shared" si="6"/>
        <v>0</v>
      </c>
      <c r="AG22" s="10">
        <f t="shared" si="7"/>
        <v>0</v>
      </c>
    </row>
    <row r="23" spans="18:33" x14ac:dyDescent="0.25">
      <c r="W23" s="59" t="s">
        <v>173</v>
      </c>
      <c r="X23" s="47"/>
      <c r="Z23" s="59" t="s">
        <v>173</v>
      </c>
      <c r="AA23" s="10">
        <f t="shared" si="1"/>
        <v>0</v>
      </c>
      <c r="AB23" s="10">
        <f t="shared" si="2"/>
        <v>0</v>
      </c>
      <c r="AC23" s="10">
        <f t="shared" si="3"/>
        <v>0</v>
      </c>
      <c r="AD23" s="10">
        <f t="shared" si="4"/>
        <v>0</v>
      </c>
      <c r="AE23" s="10">
        <f t="shared" si="5"/>
        <v>0</v>
      </c>
      <c r="AF23" s="10">
        <f t="shared" si="6"/>
        <v>0</v>
      </c>
      <c r="AG23" s="10">
        <f t="shared" si="7"/>
        <v>0</v>
      </c>
    </row>
    <row r="24" spans="18:33" x14ac:dyDescent="0.25">
      <c r="W24" s="60" t="s">
        <v>174</v>
      </c>
      <c r="X24" s="47"/>
      <c r="Z24" s="60" t="s">
        <v>174</v>
      </c>
      <c r="AA24" s="10">
        <f t="shared" si="1"/>
        <v>0</v>
      </c>
      <c r="AB24" s="10">
        <f t="shared" si="2"/>
        <v>0</v>
      </c>
      <c r="AC24" s="10">
        <f t="shared" si="3"/>
        <v>0</v>
      </c>
      <c r="AD24" s="10">
        <f t="shared" si="4"/>
        <v>0</v>
      </c>
      <c r="AE24" s="10">
        <f t="shared" si="5"/>
        <v>0</v>
      </c>
      <c r="AF24" s="10">
        <f t="shared" si="6"/>
        <v>0</v>
      </c>
      <c r="AG24" s="10">
        <f t="shared" si="7"/>
        <v>0</v>
      </c>
    </row>
    <row r="25" spans="18:33" x14ac:dyDescent="0.25">
      <c r="W25" s="59" t="s">
        <v>175</v>
      </c>
      <c r="X25" s="47"/>
      <c r="Z25" s="59" t="s">
        <v>175</v>
      </c>
      <c r="AA25" s="10">
        <f t="shared" si="1"/>
        <v>0</v>
      </c>
      <c r="AB25" s="10">
        <f t="shared" si="2"/>
        <v>0</v>
      </c>
      <c r="AC25" s="10">
        <f t="shared" si="3"/>
        <v>0</v>
      </c>
      <c r="AD25" s="10">
        <f t="shared" si="4"/>
        <v>0</v>
      </c>
      <c r="AE25" s="10">
        <f t="shared" si="5"/>
        <v>0</v>
      </c>
      <c r="AF25" s="10">
        <f t="shared" si="6"/>
        <v>0</v>
      </c>
      <c r="AG25" s="10">
        <f t="shared" si="7"/>
        <v>0</v>
      </c>
    </row>
    <row r="26" spans="18:33" x14ac:dyDescent="0.25">
      <c r="W26" s="60" t="s">
        <v>176</v>
      </c>
      <c r="X26" s="47"/>
      <c r="Z26" s="60" t="s">
        <v>176</v>
      </c>
      <c r="AA26" s="10">
        <f t="shared" si="1"/>
        <v>0</v>
      </c>
      <c r="AB26" s="10">
        <f t="shared" si="2"/>
        <v>0</v>
      </c>
      <c r="AC26" s="10">
        <f t="shared" si="3"/>
        <v>0</v>
      </c>
      <c r="AD26" s="10">
        <f t="shared" si="4"/>
        <v>0</v>
      </c>
      <c r="AE26" s="10">
        <f t="shared" si="5"/>
        <v>0</v>
      </c>
      <c r="AF26" s="10">
        <f t="shared" si="6"/>
        <v>0</v>
      </c>
      <c r="AG26" s="10">
        <f t="shared" si="7"/>
        <v>0</v>
      </c>
    </row>
  </sheetData>
  <mergeCells count="2">
    <mergeCell ref="R2:S2"/>
    <mergeCell ref="U2:V2"/>
  </mergeCells>
  <pageMargins left="0.511811024" right="0.511811024" top="0.78740157499999996" bottom="0.78740157499999996" header="0.31496062000000002" footer="0.31496062000000002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8"/>
  <sheetViews>
    <sheetView showGridLines="0" workbookViewId="0">
      <selection activeCell="F25" sqref="F2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55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55" t="s">
        <v>93</v>
      </c>
      <c r="C1" t="s">
        <v>97</v>
      </c>
      <c r="D1" t="s">
        <v>83</v>
      </c>
      <c r="E1" t="s">
        <v>98</v>
      </c>
      <c r="F1" t="s">
        <v>99</v>
      </c>
    </row>
    <row r="2" spans="1:6" x14ac:dyDescent="0.25">
      <c r="A2" t="s">
        <v>140</v>
      </c>
      <c r="B2" s="55" t="s">
        <v>304</v>
      </c>
      <c r="C2" t="s">
        <v>282</v>
      </c>
      <c r="D2" s="21">
        <v>1.3</v>
      </c>
      <c r="E2" s="21">
        <v>50</v>
      </c>
      <c r="F2" s="21">
        <v>150</v>
      </c>
    </row>
    <row r="3" spans="1:6" x14ac:dyDescent="0.25">
      <c r="A3" s="47" t="s">
        <v>272</v>
      </c>
      <c r="B3" s="55" t="s">
        <v>305</v>
      </c>
      <c r="C3" s="47" t="s">
        <v>283</v>
      </c>
      <c r="D3" s="21">
        <v>1.2</v>
      </c>
      <c r="E3" s="21">
        <v>0</v>
      </c>
      <c r="F3" s="21">
        <v>180</v>
      </c>
    </row>
    <row r="4" spans="1:6" x14ac:dyDescent="0.25">
      <c r="A4" s="47" t="s">
        <v>273</v>
      </c>
      <c r="B4" s="55" t="s">
        <v>306</v>
      </c>
      <c r="C4" s="47" t="s">
        <v>284</v>
      </c>
      <c r="D4" s="21">
        <v>1.2</v>
      </c>
      <c r="E4" s="21">
        <v>60</v>
      </c>
      <c r="F4" s="21">
        <v>150</v>
      </c>
    </row>
    <row r="5" spans="1:6" x14ac:dyDescent="0.25">
      <c r="A5" s="47" t="s">
        <v>139</v>
      </c>
      <c r="B5" s="55" t="s">
        <v>307</v>
      </c>
      <c r="C5" s="47" t="s">
        <v>285</v>
      </c>
      <c r="D5" s="21">
        <v>0</v>
      </c>
      <c r="E5" s="21">
        <v>50</v>
      </c>
      <c r="F5" s="21">
        <v>120</v>
      </c>
    </row>
    <row r="6" spans="1:6" x14ac:dyDescent="0.25">
      <c r="A6" s="47" t="s">
        <v>274</v>
      </c>
      <c r="B6" s="55" t="s">
        <v>308</v>
      </c>
      <c r="C6" s="47" t="s">
        <v>286</v>
      </c>
      <c r="D6" s="21">
        <v>0</v>
      </c>
      <c r="E6" s="21">
        <v>70</v>
      </c>
      <c r="F6" s="21">
        <v>200</v>
      </c>
    </row>
    <row r="7" spans="1:6" x14ac:dyDescent="0.25">
      <c r="A7" s="47" t="s">
        <v>275</v>
      </c>
      <c r="B7" s="55" t="s">
        <v>309</v>
      </c>
      <c r="C7" s="47" t="s">
        <v>287</v>
      </c>
      <c r="D7" s="21">
        <v>0</v>
      </c>
      <c r="E7" s="21">
        <v>60</v>
      </c>
      <c r="F7" s="21">
        <v>150</v>
      </c>
    </row>
    <row r="8" spans="1:6" x14ac:dyDescent="0.25">
      <c r="A8" s="47" t="s">
        <v>276</v>
      </c>
      <c r="B8" s="55" t="s">
        <v>310</v>
      </c>
      <c r="C8" s="47" t="s">
        <v>288</v>
      </c>
      <c r="D8" s="21">
        <v>0</v>
      </c>
      <c r="E8" s="21">
        <v>0</v>
      </c>
      <c r="F8" s="21">
        <v>120</v>
      </c>
    </row>
    <row r="9" spans="1:6" x14ac:dyDescent="0.25">
      <c r="A9" s="47" t="s">
        <v>277</v>
      </c>
      <c r="B9" s="55" t="s">
        <v>323</v>
      </c>
      <c r="C9" s="47" t="s">
        <v>282</v>
      </c>
      <c r="D9" s="21">
        <v>1.2</v>
      </c>
      <c r="E9" s="21">
        <v>80</v>
      </c>
      <c r="F9" s="21">
        <v>160</v>
      </c>
    </row>
    <row r="10" spans="1:6" x14ac:dyDescent="0.25">
      <c r="A10" s="47" t="s">
        <v>277</v>
      </c>
      <c r="B10" s="55" t="s">
        <v>311</v>
      </c>
      <c r="C10" s="47" t="s">
        <v>282</v>
      </c>
      <c r="D10" s="21">
        <v>1.2</v>
      </c>
      <c r="E10" s="21">
        <v>70</v>
      </c>
      <c r="F10" s="21">
        <v>150</v>
      </c>
    </row>
    <row r="11" spans="1:6" x14ac:dyDescent="0.25">
      <c r="A11" s="47" t="s">
        <v>277</v>
      </c>
      <c r="B11" s="55" t="s">
        <v>312</v>
      </c>
      <c r="C11" s="47" t="s">
        <v>282</v>
      </c>
      <c r="D11" s="21">
        <v>1.25</v>
      </c>
      <c r="E11" s="21">
        <v>80</v>
      </c>
      <c r="F11" s="21">
        <v>160</v>
      </c>
    </row>
    <row r="12" spans="1:6" x14ac:dyDescent="0.25">
      <c r="A12" s="47" t="s">
        <v>278</v>
      </c>
      <c r="B12" s="55" t="s">
        <v>313</v>
      </c>
      <c r="C12" s="47" t="s">
        <v>289</v>
      </c>
      <c r="D12" s="21">
        <v>0</v>
      </c>
      <c r="E12" s="21">
        <v>70</v>
      </c>
      <c r="F12" s="21">
        <v>150</v>
      </c>
    </row>
    <row r="13" spans="1:6" x14ac:dyDescent="0.25">
      <c r="A13" s="47" t="s">
        <v>279</v>
      </c>
      <c r="B13" s="55" t="s">
        <v>314</v>
      </c>
      <c r="C13" s="47" t="s">
        <v>290</v>
      </c>
      <c r="D13" s="21">
        <v>1.5</v>
      </c>
      <c r="E13" s="21">
        <v>35</v>
      </c>
      <c r="F13" s="21">
        <v>0</v>
      </c>
    </row>
    <row r="14" spans="1:6" x14ac:dyDescent="0.25">
      <c r="A14" s="47" t="s">
        <v>277</v>
      </c>
      <c r="B14" s="55" t="s">
        <v>315</v>
      </c>
      <c r="C14" s="47" t="s">
        <v>282</v>
      </c>
      <c r="D14" s="21">
        <v>1.1000000000000001</v>
      </c>
      <c r="E14" s="21">
        <v>50</v>
      </c>
      <c r="F14" s="21">
        <v>120</v>
      </c>
    </row>
    <row r="15" spans="1:6" x14ac:dyDescent="0.25">
      <c r="A15" s="47" t="s">
        <v>280</v>
      </c>
      <c r="B15" s="55" t="s">
        <v>316</v>
      </c>
      <c r="C15" s="47" t="s">
        <v>291</v>
      </c>
      <c r="D15" s="21">
        <v>0</v>
      </c>
      <c r="E15" s="21">
        <v>0</v>
      </c>
      <c r="F15" s="21">
        <v>0</v>
      </c>
    </row>
    <row r="16" spans="1:6" x14ac:dyDescent="0.25">
      <c r="A16" s="47" t="s">
        <v>281</v>
      </c>
      <c r="B16" s="55" t="s">
        <v>317</v>
      </c>
      <c r="C16" s="47" t="s">
        <v>292</v>
      </c>
      <c r="D16" s="21">
        <v>0</v>
      </c>
      <c r="E16" s="21">
        <v>0</v>
      </c>
      <c r="F16" s="21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5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4" customFormat="1" ht="30" customHeight="1" x14ac:dyDescent="0.25">
      <c r="A1" s="56" t="s">
        <v>93</v>
      </c>
      <c r="B1" s="46" t="s">
        <v>94</v>
      </c>
      <c r="C1" s="46" t="s">
        <v>95</v>
      </c>
      <c r="D1" s="46" t="s">
        <v>96</v>
      </c>
      <c r="E1" s="46" t="s">
        <v>71</v>
      </c>
    </row>
    <row r="2" spans="1:5" x14ac:dyDescent="0.25">
      <c r="A2" s="55" t="s">
        <v>153</v>
      </c>
      <c r="B2" t="s">
        <v>177</v>
      </c>
      <c r="C2" t="s">
        <v>201</v>
      </c>
      <c r="D2" t="s">
        <v>225</v>
      </c>
      <c r="E2" t="s">
        <v>248</v>
      </c>
    </row>
    <row r="3" spans="1:5" x14ac:dyDescent="0.25">
      <c r="A3" s="55" t="s">
        <v>154</v>
      </c>
      <c r="B3" t="s">
        <v>178</v>
      </c>
      <c r="C3" t="s">
        <v>202</v>
      </c>
      <c r="D3" t="s">
        <v>226</v>
      </c>
      <c r="E3" t="s">
        <v>249</v>
      </c>
    </row>
    <row r="4" spans="1:5" x14ac:dyDescent="0.25">
      <c r="A4" s="55" t="s">
        <v>155</v>
      </c>
      <c r="B4" t="s">
        <v>179</v>
      </c>
      <c r="C4" t="s">
        <v>203</v>
      </c>
      <c r="D4" t="s">
        <v>227</v>
      </c>
      <c r="E4" t="s">
        <v>250</v>
      </c>
    </row>
    <row r="5" spans="1:5" x14ac:dyDescent="0.25">
      <c r="A5" s="55" t="s">
        <v>156</v>
      </c>
      <c r="B5" t="s">
        <v>180</v>
      </c>
      <c r="C5" t="s">
        <v>204</v>
      </c>
      <c r="D5" t="s">
        <v>228</v>
      </c>
      <c r="E5" t="s">
        <v>251</v>
      </c>
    </row>
    <row r="6" spans="1:5" x14ac:dyDescent="0.25">
      <c r="A6" s="55" t="s">
        <v>157</v>
      </c>
      <c r="B6" t="s">
        <v>181</v>
      </c>
      <c r="C6" t="s">
        <v>205</v>
      </c>
      <c r="D6" t="s">
        <v>229</v>
      </c>
      <c r="E6" t="s">
        <v>252</v>
      </c>
    </row>
    <row r="7" spans="1:5" x14ac:dyDescent="0.25">
      <c r="A7" s="55" t="s">
        <v>158</v>
      </c>
      <c r="B7" t="s">
        <v>182</v>
      </c>
      <c r="C7" t="s">
        <v>206</v>
      </c>
      <c r="D7" t="s">
        <v>230</v>
      </c>
      <c r="E7" t="s">
        <v>253</v>
      </c>
    </row>
    <row r="8" spans="1:5" x14ac:dyDescent="0.25">
      <c r="A8" s="55" t="s">
        <v>159</v>
      </c>
      <c r="B8" t="s">
        <v>183</v>
      </c>
      <c r="C8" t="s">
        <v>207</v>
      </c>
      <c r="D8" t="s">
        <v>231</v>
      </c>
      <c r="E8" t="s">
        <v>254</v>
      </c>
    </row>
    <row r="9" spans="1:5" x14ac:dyDescent="0.25">
      <c r="A9" s="55" t="s">
        <v>160</v>
      </c>
      <c r="B9" t="s">
        <v>184</v>
      </c>
      <c r="C9" t="s">
        <v>208</v>
      </c>
      <c r="D9" t="s">
        <v>232</v>
      </c>
      <c r="E9" t="s">
        <v>255</v>
      </c>
    </row>
    <row r="10" spans="1:5" x14ac:dyDescent="0.25">
      <c r="A10" s="55" t="s">
        <v>161</v>
      </c>
      <c r="B10" t="s">
        <v>185</v>
      </c>
      <c r="C10" t="s">
        <v>209</v>
      </c>
      <c r="D10" t="s">
        <v>233</v>
      </c>
      <c r="E10" t="s">
        <v>256</v>
      </c>
    </row>
    <row r="11" spans="1:5" x14ac:dyDescent="0.25">
      <c r="A11" s="55" t="s">
        <v>162</v>
      </c>
      <c r="B11" t="s">
        <v>186</v>
      </c>
      <c r="C11" t="s">
        <v>210</v>
      </c>
      <c r="D11" t="s">
        <v>234</v>
      </c>
      <c r="E11" t="s">
        <v>257</v>
      </c>
    </row>
    <row r="12" spans="1:5" x14ac:dyDescent="0.25">
      <c r="A12" s="55" t="s">
        <v>163</v>
      </c>
      <c r="B12" t="s">
        <v>187</v>
      </c>
      <c r="C12" t="s">
        <v>211</v>
      </c>
      <c r="D12" t="s">
        <v>235</v>
      </c>
      <c r="E12" t="s">
        <v>258</v>
      </c>
    </row>
    <row r="13" spans="1:5" x14ac:dyDescent="0.25">
      <c r="A13" s="55" t="s">
        <v>164</v>
      </c>
      <c r="B13" t="s">
        <v>188</v>
      </c>
      <c r="C13" t="s">
        <v>212</v>
      </c>
      <c r="D13" t="s">
        <v>236</v>
      </c>
      <c r="E13" t="s">
        <v>259</v>
      </c>
    </row>
    <row r="14" spans="1:5" x14ac:dyDescent="0.25">
      <c r="A14" s="55" t="s">
        <v>165</v>
      </c>
      <c r="B14" t="s">
        <v>189</v>
      </c>
      <c r="C14" t="s">
        <v>213</v>
      </c>
      <c r="D14" t="s">
        <v>237</v>
      </c>
      <c r="E14" t="s">
        <v>260</v>
      </c>
    </row>
    <row r="15" spans="1:5" x14ac:dyDescent="0.25">
      <c r="A15" s="55" t="s">
        <v>166</v>
      </c>
      <c r="B15" t="s">
        <v>190</v>
      </c>
      <c r="C15" t="s">
        <v>214</v>
      </c>
      <c r="D15" t="s">
        <v>238</v>
      </c>
      <c r="E15" t="s">
        <v>261</v>
      </c>
    </row>
    <row r="16" spans="1:5" x14ac:dyDescent="0.25">
      <c r="A16" s="55" t="s">
        <v>167</v>
      </c>
      <c r="B16" t="s">
        <v>191</v>
      </c>
      <c r="C16" t="s">
        <v>215</v>
      </c>
      <c r="D16" t="s">
        <v>239</v>
      </c>
      <c r="E16" t="s">
        <v>262</v>
      </c>
    </row>
    <row r="17" spans="1:5" x14ac:dyDescent="0.25">
      <c r="A17" s="55" t="s">
        <v>168</v>
      </c>
      <c r="B17" t="s">
        <v>192</v>
      </c>
      <c r="C17" t="s">
        <v>216</v>
      </c>
      <c r="D17" t="s">
        <v>240</v>
      </c>
      <c r="E17" t="s">
        <v>263</v>
      </c>
    </row>
    <row r="18" spans="1:5" x14ac:dyDescent="0.25">
      <c r="A18" s="55" t="s">
        <v>169</v>
      </c>
      <c r="B18" t="s">
        <v>193</v>
      </c>
      <c r="C18" t="s">
        <v>217</v>
      </c>
      <c r="D18" t="s">
        <v>241</v>
      </c>
      <c r="E18" t="s">
        <v>264</v>
      </c>
    </row>
    <row r="19" spans="1:5" x14ac:dyDescent="0.25">
      <c r="A19" s="55" t="s">
        <v>170</v>
      </c>
      <c r="B19" t="s">
        <v>194</v>
      </c>
      <c r="C19" t="s">
        <v>218</v>
      </c>
      <c r="D19" t="s">
        <v>242</v>
      </c>
      <c r="E19" t="s">
        <v>265</v>
      </c>
    </row>
    <row r="20" spans="1:5" x14ac:dyDescent="0.25">
      <c r="A20" s="55" t="s">
        <v>171</v>
      </c>
      <c r="B20" t="s">
        <v>195</v>
      </c>
      <c r="C20" t="s">
        <v>219</v>
      </c>
      <c r="D20" t="s">
        <v>243</v>
      </c>
      <c r="E20" t="s">
        <v>266</v>
      </c>
    </row>
    <row r="21" spans="1:5" x14ac:dyDescent="0.25">
      <c r="A21" s="55" t="s">
        <v>172</v>
      </c>
      <c r="B21" t="s">
        <v>196</v>
      </c>
      <c r="C21" t="s">
        <v>220</v>
      </c>
      <c r="D21" t="s">
        <v>244</v>
      </c>
      <c r="E21" t="s">
        <v>267</v>
      </c>
    </row>
    <row r="22" spans="1:5" x14ac:dyDescent="0.25">
      <c r="A22" s="55" t="s">
        <v>173</v>
      </c>
      <c r="B22" t="s">
        <v>197</v>
      </c>
      <c r="C22" t="s">
        <v>221</v>
      </c>
      <c r="D22" t="s">
        <v>245</v>
      </c>
      <c r="E22" t="s">
        <v>268</v>
      </c>
    </row>
    <row r="23" spans="1:5" x14ac:dyDescent="0.25">
      <c r="A23" s="55" t="s">
        <v>174</v>
      </c>
      <c r="B23" t="s">
        <v>198</v>
      </c>
      <c r="C23" t="s">
        <v>222</v>
      </c>
      <c r="D23" t="s">
        <v>246</v>
      </c>
      <c r="E23" t="s">
        <v>269</v>
      </c>
    </row>
    <row r="24" spans="1:5" x14ac:dyDescent="0.25">
      <c r="A24" s="55" t="s">
        <v>175</v>
      </c>
      <c r="B24" t="s">
        <v>199</v>
      </c>
      <c r="C24" t="s">
        <v>223</v>
      </c>
      <c r="D24" t="s">
        <v>247</v>
      </c>
      <c r="E24" t="s">
        <v>270</v>
      </c>
    </row>
    <row r="25" spans="1:5" x14ac:dyDescent="0.25">
      <c r="A25" s="55" t="s">
        <v>176</v>
      </c>
      <c r="B25" t="s">
        <v>200</v>
      </c>
      <c r="C25" t="s">
        <v>224</v>
      </c>
      <c r="D25" t="s">
        <v>245</v>
      </c>
      <c r="E25" t="s">
        <v>271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85</v>
      </c>
    </row>
    <row r="2" spans="1:1" x14ac:dyDescent="0.25">
      <c r="A2" t="s">
        <v>86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78</v>
      </c>
    </row>
    <row r="2" spans="1:1" x14ac:dyDescent="0.25">
      <c r="A2" t="s">
        <v>79</v>
      </c>
    </row>
    <row r="3" spans="1:1" x14ac:dyDescent="0.25">
      <c r="A3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74</v>
      </c>
    </row>
    <row r="4" spans="1:1" x14ac:dyDescent="0.25">
      <c r="A4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76</v>
      </c>
    </row>
    <row r="2" spans="1:1" x14ac:dyDescent="0.25">
      <c r="A2" t="s">
        <v>84</v>
      </c>
    </row>
    <row r="3" spans="1:1" x14ac:dyDescent="0.25">
      <c r="A3" t="s">
        <v>77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16</vt:i4>
      </vt:variant>
    </vt:vector>
  </HeadingPairs>
  <TitlesOfParts>
    <vt:vector size="36" baseType="lpstr">
      <vt:lpstr>Inicial</vt:lpstr>
      <vt:lpstr>Vistoria</vt:lpstr>
      <vt:lpstr>ContasApagar</vt:lpstr>
      <vt:lpstr>ContasAreceber</vt:lpstr>
      <vt:lpstr>CadPenhor</vt:lpstr>
      <vt:lpstr>CadPericia</vt:lpstr>
      <vt:lpstr>TbDinamicaApagar</vt:lpstr>
      <vt:lpstr>DashboardApagar</vt:lpstr>
      <vt:lpstr>RelContasApagar</vt:lpstr>
      <vt:lpstr>RelContasAReceber</vt:lpstr>
      <vt:lpstr>TbDinamicaReceber</vt:lpstr>
      <vt:lpstr>DashboardAReceber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cidades</vt:lpstr>
      <vt:lpstr>Inicial!Criterios</vt:lpstr>
      <vt:lpstr>RelContasApagar!Criterios</vt:lpstr>
      <vt:lpstr>RelContasAReceber!Criterios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2021-02-27T04:28:40Z</dcterms:modified>
</cp:coreProperties>
</file>