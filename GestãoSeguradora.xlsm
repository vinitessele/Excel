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A3ED3DB5-4744-4D5D-AE6F-6EE0D820A943}" xr6:coauthVersionLast="46" xr6:coauthVersionMax="46" xr10:uidLastSave="{00000000-0000-0000-0000-000000000000}"/>
  <bookViews>
    <workbookView xWindow="-120" yWindow="-120" windowWidth="20730" windowHeight="11160" activeTab="4" xr2:uid="{E0D4B125-8ABE-41E3-AD67-A9BA722874B8}"/>
  </bookViews>
  <sheets>
    <sheet name="Inicial" sheetId="2" r:id="rId1"/>
    <sheet name="CadPericia" sheetId="6" r:id="rId2"/>
    <sheet name="RelPericiaPerito" sheetId="13" r:id="rId3"/>
    <sheet name="RelPenhorPerito" sheetId="14" r:id="rId4"/>
    <sheet name="CadPenhor" sheetId="5" r:id="rId5"/>
    <sheet name="CadPerito" sheetId="7" r:id="rId6"/>
    <sheet name="CadSeguradora" sheetId="1" r:id="rId7"/>
    <sheet name="Cidades" sheetId="4" r:id="rId8"/>
    <sheet name="Cultura" sheetId="11" r:id="rId9"/>
    <sheet name="Sinistro" sheetId="10" r:id="rId10"/>
    <sheet name="TipoBenSeg" sheetId="8" r:id="rId11"/>
    <sheet name="TipoVistoria" sheetId="9" r:id="rId12"/>
    <sheet name="Estados" sheetId="3" r:id="rId13"/>
  </sheets>
  <definedNames>
    <definedName name="_xlnm._FilterDatabase" localSheetId="1" hidden="1">CadPericia!$A$1:$AC$13</definedName>
    <definedName name="_xlnm.Extract" localSheetId="3">RelPenhorPerito!$A$8:$Y$8</definedName>
    <definedName name="_xlnm.Extract" localSheetId="2">RelPericiaPerito!$A$6:$AC$6</definedName>
    <definedName name="_xlnm.Print_Area" localSheetId="2">RelPericiaPerito!$H$19</definedName>
    <definedName name="cidades">Cidades!$A:$A</definedName>
    <definedName name="_xlnm.Criteria" localSheetId="3">RelPenhorPerito!$G$2:$J$3</definedName>
    <definedName name="_xlnm.Criteria" localSheetId="2">RelPericiaPerito!$J$2:$M$3</definedName>
    <definedName name="Cultura">Cultura!$A:$A</definedName>
    <definedName name="Perito">CadPerito!$A:$A</definedName>
    <definedName name="SeguradoPenhor">CadPenhor!$F:$F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4" l="1"/>
  <c r="G3" i="14"/>
  <c r="J3" i="14"/>
  <c r="I3" i="14"/>
  <c r="M3" i="13"/>
  <c r="L3" i="13"/>
  <c r="K3" i="13"/>
  <c r="J3" i="13"/>
</calcChain>
</file>

<file path=xl/sharedStrings.xml><?xml version="1.0" encoding="utf-8"?>
<sst xmlns="http://schemas.openxmlformats.org/spreadsheetml/2006/main" count="493" uniqueCount="190">
  <si>
    <t>CNPJ</t>
  </si>
  <si>
    <t>www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</si>
  <si>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</si>
  <si>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</si>
  <si>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</si>
  <si>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</si>
  <si>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</si>
  <si>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</si>
  <si>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</si>
  <si>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</si>
  <si>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</si>
  <si>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</si>
  <si>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</si>
  <si>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</si>
  <si>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</si>
  <si>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</si>
  <si>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</si>
  <si>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</si>
  <si>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</si>
  <si>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</si>
  <si>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</si>
  <si>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</si>
  <si>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</si>
  <si>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</si>
  <si>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</si>
  <si>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</si>
  <si>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</si>
  <si>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</si>
  <si>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</si>
  <si>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</si>
  <si>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</si>
  <si>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</si>
  <si>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</si>
  <si>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</si>
  <si>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</si>
  <si>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</si>
  <si>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</si>
  <si>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</si>
  <si>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</si>
  <si>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</si>
  <si>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</si>
  <si>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</si>
  <si>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</si>
  <si>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</si>
  <si>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</si>
  <si>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</si>
  <si>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</si>
  <si>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</si>
  <si>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</si>
  <si>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</si>
  <si>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</si>
  <si>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</si>
  <si>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</si>
  <si>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</si>
  <si>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</si>
  <si>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</si>
  <si>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</si>
  <si>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</si>
  <si>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</si>
  <si>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</si>
  <si>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</si>
  <si>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</si>
  <si>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rr</t>
  </si>
  <si>
    <t>f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</si>
  <si>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</si>
  <si>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</si>
  <si>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</si>
  <si>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</si>
  <si>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</si>
  <si>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</si>
  <si>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</si>
  <si>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</si>
  <si>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</si>
  <si>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</si>
  <si>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</si>
  <si>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</si>
  <si>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</si>
  <si>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</si>
  <si>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</si>
  <si>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</si>
  <si>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</si>
  <si>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</si>
  <si>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eeee</t>
  </si>
  <si>
    <t>ee</t>
  </si>
  <si>
    <t>sd</t>
  </si>
  <si>
    <t>Mario</t>
  </si>
  <si>
    <t>Seca</t>
  </si>
  <si>
    <t>ww</t>
  </si>
  <si>
    <t>Pedro antonio</t>
  </si>
  <si>
    <t>Jose</t>
  </si>
  <si>
    <t>Chuva de pedras</t>
  </si>
  <si>
    <t>Marcilio</t>
  </si>
  <si>
    <t>30/01/2021</t>
  </si>
  <si>
    <t>soja</t>
  </si>
  <si>
    <t>Pedro Silva</t>
  </si>
  <si>
    <t>milho</t>
  </si>
  <si>
    <t>CPF</t>
  </si>
  <si>
    <t>76.302.157/0001-33</t>
  </si>
  <si>
    <t>Rua dos padres</t>
  </si>
  <si>
    <t>Vinicius</t>
  </si>
  <si>
    <t xml:space="preserve">Rua Carlos dall agnolo </t>
  </si>
  <si>
    <t>(44) 99916-8055</t>
  </si>
  <si>
    <t>Maquinas</t>
  </si>
  <si>
    <t>Equipamentos</t>
  </si>
  <si>
    <t>Benfeitorias</t>
  </si>
  <si>
    <t>Produto Colhido</t>
  </si>
  <si>
    <t xml:space="preserve">José </t>
  </si>
  <si>
    <t>Maria</t>
  </si>
  <si>
    <t>chuvas granizo</t>
  </si>
  <si>
    <t>seca</t>
  </si>
  <si>
    <t>Porto seguro</t>
  </si>
  <si>
    <t>Itau</t>
  </si>
  <si>
    <t>Banco do Brasil</t>
  </si>
  <si>
    <t>Bradesco</t>
  </si>
  <si>
    <t>Banco do Brasl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</si>
  <si>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</si>
  <si>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</si>
  <si>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</si>
  <si>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</si>
  <si>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</si>
  <si>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</si>
  <si>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</si>
  <si>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</si>
  <si>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BABI</t>
  </si>
  <si>
    <t>Flavio</t>
  </si>
  <si>
    <t>sorgo</t>
  </si>
  <si>
    <t>maria</t>
  </si>
  <si>
    <t>Aveia</t>
  </si>
  <si>
    <t>teste para observacao</t>
  </si>
  <si>
    <t>Paulo</t>
  </si>
  <si>
    <t>Agravamento</t>
  </si>
  <si>
    <t>Revistoria</t>
  </si>
  <si>
    <t>teste monitoramente</t>
  </si>
  <si>
    <t>Camila</t>
  </si>
  <si>
    <t>26/01/2021</t>
  </si>
  <si>
    <t>76.302.157/0001-31</t>
  </si>
  <si>
    <t>76.302.157/0001-34</t>
  </si>
  <si>
    <t>76.302.157/0001-35</t>
  </si>
  <si>
    <t>rua das palmas</t>
  </si>
  <si>
    <t>1,30</t>
  </si>
  <si>
    <t>50,00</t>
  </si>
  <si>
    <t>27/01/2020</t>
  </si>
  <si>
    <t>Clodoaldo</t>
  </si>
  <si>
    <t>Incendio</t>
  </si>
  <si>
    <t>Marilda</t>
  </si>
  <si>
    <t>incendio</t>
  </si>
  <si>
    <t>27/01/2021</t>
  </si>
  <si>
    <t>Roubo</t>
  </si>
  <si>
    <t>KM R$</t>
  </si>
  <si>
    <t>Preliminar/Final</t>
  </si>
  <si>
    <t>rua ral</t>
  </si>
  <si>
    <t>2,1</t>
  </si>
  <si>
    <t>Rua das flores</t>
  </si>
  <si>
    <t>Pedro</t>
  </si>
  <si>
    <t>29/01/2021</t>
  </si>
  <si>
    <t>Jessica</t>
  </si>
  <si>
    <t xml:space="preserve">Soja </t>
  </si>
  <si>
    <t>Milho</t>
  </si>
  <si>
    <t>Seca geada</t>
  </si>
  <si>
    <t>Seca e geada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</si>
  <si>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</si>
  <si>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</si>
  <si>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</si>
  <si>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</si>
  <si>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</si>
  <si>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</si>
  <si>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</si>
  <si>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</si>
  <si>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</si>
  <si>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</si>
  <si>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</si>
  <si>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</si>
  <si>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</si>
  <si>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</si>
  <si>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</si>
  <si>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Teste</t>
  </si>
  <si>
    <t>Tina Taner</t>
  </si>
  <si>
    <t>22/02/2021</t>
  </si>
  <si>
    <t>Priscila</t>
  </si>
  <si>
    <t>150,00</t>
  </si>
  <si>
    <t>PASSAGEM ÁERA</t>
  </si>
  <si>
    <t>STATUS</t>
  </si>
  <si>
    <t>Aberto</t>
  </si>
  <si>
    <t>Liquidado</t>
  </si>
  <si>
    <t>Até</t>
  </si>
  <si>
    <t>Período:</t>
  </si>
  <si>
    <t>Perito :</t>
  </si>
  <si>
    <t>Seguradora :</t>
  </si>
  <si>
    <t>Relatório de Pericias - Perito</t>
  </si>
  <si>
    <t>Relatório de Penhor - Perito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</si>
</sst>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0" fontId="5" fillId="0" borderId="0" xfId="0" applyFont="1"/>
    <xf numFmtId="14" fontId="4" fillId="3" borderId="0" xfId="0" applyNumberFormat="1" applyFont="1" applyFill="1" applyBorder="1" applyAlignment="1">
      <alignment horizontal="right"/>
    </xf>
    <xf numFmtId="0" fontId="4" fillId="3" borderId="0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Font="1"/>
    <xf numFmtId="0" fontId="6" fillId="0" borderId="5" xfId="0" applyFont="1" applyBorder="1" applyAlignment="1">
      <alignment horizontal="center"/>
    </xf>
    <xf numFmtId="14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5" fillId="3" borderId="0" xfId="0" applyFont="1" applyFill="1" applyBorder="1"/>
    <xf numFmtId="0" fontId="0" fillId="0" borderId="0" xfId="0" applyBorder="1"/>
    <xf numFmtId="14" fontId="1" fillId="3" borderId="0" xfId="0" applyNumberFormat="1" applyFont="1" applyFill="1" applyBorder="1" applyAlignment="1">
      <alignment horizontal="right"/>
    </xf>
    <xf numFmtId="0" fontId="1" fillId="3" borderId="0" xfId="0" applyFont="1" applyFill="1" applyBorder="1" applyAlignment="1">
      <alignment horizontal="center"/>
    </xf>
    <xf numFmtId="0" fontId="2" fillId="3" borderId="0" xfId="0" applyFont="1" applyFill="1" applyBorder="1"/>
  </cellXfs>
  <cellStyles count="2">
    <cellStyle name="Moeda" xfId="1" builtinId="4"/>
    <cellStyle name="Normal" xfId="0" builtinId="0"/>
  </cellStyles>
  <dxfs count="23"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  <alignment horizontal="right" vertical="bottom" textRotation="0" wrapText="0" indent="0" justifyLastLine="0" shrinkToFit="0" readingOrder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4</xdr:row>
      <xdr:rowOff>85726</xdr:rowOff>
    </xdr:from>
    <xdr:to>
      <xdr:col>20</xdr:col>
      <xdr:colOff>428624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95249" y="847726"/>
          <a:ext cx="12525375" cy="353377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323850</xdr:colOff>
      <xdr:row>13</xdr:row>
      <xdr:rowOff>85725</xdr:rowOff>
    </xdr:from>
    <xdr:to>
      <xdr:col>4</xdr:col>
      <xdr:colOff>409575</xdr:colOff>
      <xdr:row>16</xdr:row>
      <xdr:rowOff>161925</xdr:rowOff>
    </xdr:to>
    <xdr:sp macro="[0]!ChamarCadSegurado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25D02A-6B5D-4971-836F-775F7A3745A4}"/>
            </a:ext>
          </a:extLst>
        </xdr:cNvPr>
        <xdr:cNvSpPr/>
      </xdr:nvSpPr>
      <xdr:spPr>
        <a:xfrm>
          <a:off x="323850" y="2562225"/>
          <a:ext cx="2524125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Cadastro de seguradora</a:t>
          </a:r>
        </a:p>
      </xdr:txBody>
    </xdr:sp>
    <xdr:clientData/>
  </xdr:twoCellAnchor>
  <xdr:twoCellAnchor>
    <xdr:from>
      <xdr:col>0</xdr:col>
      <xdr:colOff>352426</xdr:colOff>
      <xdr:row>6</xdr:row>
      <xdr:rowOff>28575</xdr:rowOff>
    </xdr:from>
    <xdr:to>
      <xdr:col>4</xdr:col>
      <xdr:colOff>447676</xdr:colOff>
      <xdr:row>9</xdr:row>
      <xdr:rowOff>104775</xdr:rowOff>
    </xdr:to>
    <xdr:sp macro="[0]!ChamarCadPerici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F096E23-81FD-4F76-BA42-82BDABBCFFB3}"/>
            </a:ext>
          </a:extLst>
        </xdr:cNvPr>
        <xdr:cNvSpPr/>
      </xdr:nvSpPr>
      <xdr:spPr>
        <a:xfrm>
          <a:off x="352426" y="11715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Cadastro</a:t>
          </a:r>
          <a:r>
            <a:rPr lang="pt-BR" sz="1200" b="1" baseline="0"/>
            <a:t> de Pericias Agrícolas</a:t>
          </a:r>
          <a:endParaRPr lang="pt-BR" sz="1200" b="1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 editAs="oneCell">
    <xdr:from>
      <xdr:col>0</xdr:col>
      <xdr:colOff>314325</xdr:colOff>
      <xdr:row>6</xdr:row>
      <xdr:rowOff>57150</xdr:rowOff>
    </xdr:from>
    <xdr:to>
      <xdr:col>1</xdr:col>
      <xdr:colOff>314325</xdr:colOff>
      <xdr:row>9</xdr:row>
      <xdr:rowOff>95250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0CFBF2F-7572-4B10-85F6-092D7497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20015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285750</xdr:colOff>
      <xdr:row>13</xdr:row>
      <xdr:rowOff>123825</xdr:rowOff>
    </xdr:from>
    <xdr:to>
      <xdr:col>1</xdr:col>
      <xdr:colOff>285750</xdr:colOff>
      <xdr:row>16</xdr:row>
      <xdr:rowOff>161925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8ED45-174B-4B3F-B691-9F5D8216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600325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333376</xdr:colOff>
      <xdr:row>9</xdr:row>
      <xdr:rowOff>152400</xdr:rowOff>
    </xdr:from>
    <xdr:to>
      <xdr:col>4</xdr:col>
      <xdr:colOff>428626</xdr:colOff>
      <xdr:row>13</xdr:row>
      <xdr:rowOff>38100</xdr:rowOff>
    </xdr:to>
    <xdr:sp macro="[0]!ChamarCadPenho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BD6C205-9AB5-426D-A8B7-31F7D55D8589}"/>
            </a:ext>
          </a:extLst>
        </xdr:cNvPr>
        <xdr:cNvSpPr/>
      </xdr:nvSpPr>
      <xdr:spPr>
        <a:xfrm>
          <a:off x="333376" y="186690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Cadastro</a:t>
          </a:r>
          <a:r>
            <a:rPr lang="pt-BR" sz="1200" b="1" baseline="0"/>
            <a:t> de Penhor Rural</a:t>
          </a:r>
          <a:endParaRPr lang="pt-BR" sz="1200" b="1"/>
        </a:p>
      </xdr:txBody>
    </xdr:sp>
    <xdr:clientData/>
  </xdr:twoCellAnchor>
  <xdr:twoCellAnchor editAs="oneCell">
    <xdr:from>
      <xdr:col>0</xdr:col>
      <xdr:colOff>295276</xdr:colOff>
      <xdr:row>10</xdr:row>
      <xdr:rowOff>19050</xdr:rowOff>
    </xdr:from>
    <xdr:to>
      <xdr:col>1</xdr:col>
      <xdr:colOff>295276</xdr:colOff>
      <xdr:row>13</xdr:row>
      <xdr:rowOff>57150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1E43AF73-230D-4C65-94EA-8D81A8DE5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1924050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314326</xdr:colOff>
      <xdr:row>17</xdr:row>
      <xdr:rowOff>19050</xdr:rowOff>
    </xdr:from>
    <xdr:to>
      <xdr:col>4</xdr:col>
      <xdr:colOff>409576</xdr:colOff>
      <xdr:row>20</xdr:row>
      <xdr:rowOff>95250</xdr:rowOff>
    </xdr:to>
    <xdr:sp macro="[0]!ChamarCadPeri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587AC0F-37EE-4340-9C92-182087328C08}"/>
            </a:ext>
          </a:extLst>
        </xdr:cNvPr>
        <xdr:cNvSpPr/>
      </xdr:nvSpPr>
      <xdr:spPr>
        <a:xfrm>
          <a:off x="314326" y="32575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Cadastro de Peritos</a:t>
          </a:r>
        </a:p>
      </xdr:txBody>
    </xdr:sp>
    <xdr:clientData/>
  </xdr:twoCellAnchor>
  <xdr:twoCellAnchor editAs="oneCell">
    <xdr:from>
      <xdr:col>0</xdr:col>
      <xdr:colOff>295275</xdr:colOff>
      <xdr:row>17</xdr:row>
      <xdr:rowOff>28575</xdr:rowOff>
    </xdr:from>
    <xdr:to>
      <xdr:col>1</xdr:col>
      <xdr:colOff>295275</xdr:colOff>
      <xdr:row>20</xdr:row>
      <xdr:rowOff>66675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3192265-6104-4714-A886-8F485A4B1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3267075"/>
          <a:ext cx="609600" cy="609600"/>
        </a:xfrm>
        <a:prstGeom prst="rect">
          <a:avLst/>
        </a:prstGeom>
      </xdr:spPr>
    </xdr:pic>
    <xdr:clientData/>
  </xdr:twoCellAnchor>
  <xdr:twoCellAnchor>
    <xdr:from>
      <xdr:col>16</xdr:col>
      <xdr:colOff>104776</xdr:colOff>
      <xdr:row>6</xdr:row>
      <xdr:rowOff>28575</xdr:rowOff>
    </xdr:from>
    <xdr:to>
      <xdr:col>20</xdr:col>
      <xdr:colOff>200026</xdr:colOff>
      <xdr:row>9</xdr:row>
      <xdr:rowOff>104775</xdr:rowOff>
    </xdr:to>
    <xdr:sp macro="[0]!ChamarLancPerici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7A1AB208-7E87-478F-AAE2-AEE61C4AD456}"/>
            </a:ext>
          </a:extLst>
        </xdr:cNvPr>
        <xdr:cNvSpPr/>
      </xdr:nvSpPr>
      <xdr:spPr>
        <a:xfrm>
          <a:off x="9858376" y="11715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Lançamento de Pericias </a:t>
          </a:r>
        </a:p>
      </xdr:txBody>
    </xdr:sp>
    <xdr:clientData/>
  </xdr:twoCellAnchor>
  <xdr:twoCellAnchor>
    <xdr:from>
      <xdr:col>16</xdr:col>
      <xdr:colOff>133351</xdr:colOff>
      <xdr:row>10</xdr:row>
      <xdr:rowOff>0</xdr:rowOff>
    </xdr:from>
    <xdr:to>
      <xdr:col>20</xdr:col>
      <xdr:colOff>228601</xdr:colOff>
      <xdr:row>13</xdr:row>
      <xdr:rowOff>76200</xdr:rowOff>
    </xdr:to>
    <xdr:sp macro="[0]!ChamarLancPenho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B8DA108-148E-4C05-8F5A-FE6394D039EA}"/>
            </a:ext>
          </a:extLst>
        </xdr:cNvPr>
        <xdr:cNvSpPr/>
      </xdr:nvSpPr>
      <xdr:spPr>
        <a:xfrm>
          <a:off x="9886951" y="190500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Lançamento de Penhor</a:t>
          </a:r>
        </a:p>
      </xdr:txBody>
    </xdr:sp>
    <xdr:clientData/>
  </xdr:twoCellAnchor>
  <xdr:twoCellAnchor editAs="oneCell">
    <xdr:from>
      <xdr:col>16</xdr:col>
      <xdr:colOff>161925</xdr:colOff>
      <xdr:row>6</xdr:row>
      <xdr:rowOff>66675</xdr:rowOff>
    </xdr:from>
    <xdr:to>
      <xdr:col>17</xdr:col>
      <xdr:colOff>161925</xdr:colOff>
      <xdr:row>9</xdr:row>
      <xdr:rowOff>104775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B793AEFE-20DA-4046-B155-5D4F1AA39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5525" y="1209675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10</xdr:row>
      <xdr:rowOff>9525</xdr:rowOff>
    </xdr:from>
    <xdr:to>
      <xdr:col>17</xdr:col>
      <xdr:colOff>200025</xdr:colOff>
      <xdr:row>13</xdr:row>
      <xdr:rowOff>47625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ED0CF73-78FC-4D9D-94C0-4183228FF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5" y="1914525"/>
          <a:ext cx="609600" cy="609600"/>
        </a:xfrm>
        <a:prstGeom prst="rect">
          <a:avLst/>
        </a:prstGeom>
      </xdr:spPr>
    </xdr:pic>
    <xdr:clientData/>
  </xdr:twoCellAnchor>
  <xdr:twoCellAnchor>
    <xdr:from>
      <xdr:col>16</xdr:col>
      <xdr:colOff>133351</xdr:colOff>
      <xdr:row>13</xdr:row>
      <xdr:rowOff>133350</xdr:rowOff>
    </xdr:from>
    <xdr:to>
      <xdr:col>20</xdr:col>
      <xdr:colOff>228601</xdr:colOff>
      <xdr:row>17</xdr:row>
      <xdr:rowOff>19050</xdr:rowOff>
    </xdr:to>
    <xdr:sp macro="[0]!ChamarRelPericias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10C130D5-083B-42C5-9302-2E840D945295}"/>
            </a:ext>
          </a:extLst>
        </xdr:cNvPr>
        <xdr:cNvSpPr/>
      </xdr:nvSpPr>
      <xdr:spPr>
        <a:xfrm>
          <a:off x="9886951" y="26098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Relatório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Percias - Perito</a:t>
          </a:r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16</xdr:col>
      <xdr:colOff>161925</xdr:colOff>
      <xdr:row>13</xdr:row>
      <xdr:rowOff>76200</xdr:rowOff>
    </xdr:from>
    <xdr:to>
      <xdr:col>17</xdr:col>
      <xdr:colOff>314325</xdr:colOff>
      <xdr:row>17</xdr:row>
      <xdr:rowOff>76200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DDE9E950-42C8-44AA-8C4B-02F188A5B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5525" y="2552700"/>
          <a:ext cx="762000" cy="762000"/>
        </a:xfrm>
        <a:prstGeom prst="rect">
          <a:avLst/>
        </a:prstGeom>
      </xdr:spPr>
    </xdr:pic>
    <xdr:clientData/>
  </xdr:twoCellAnchor>
  <xdr:twoCellAnchor>
    <xdr:from>
      <xdr:col>16</xdr:col>
      <xdr:colOff>104776</xdr:colOff>
      <xdr:row>17</xdr:row>
      <xdr:rowOff>66675</xdr:rowOff>
    </xdr:from>
    <xdr:to>
      <xdr:col>20</xdr:col>
      <xdr:colOff>200026</xdr:colOff>
      <xdr:row>20</xdr:row>
      <xdr:rowOff>142875</xdr:rowOff>
    </xdr:to>
    <xdr:sp macro="[0]!ChamarRelPericias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B36E5149-BCB8-4B4B-B0B3-7C63C6247554}"/>
            </a:ext>
          </a:extLst>
        </xdr:cNvPr>
        <xdr:cNvSpPr/>
      </xdr:nvSpPr>
      <xdr:spPr>
        <a:xfrm>
          <a:off x="9858376" y="33051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Relatório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Penhor - Perito</a:t>
          </a:r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16</xdr:col>
      <xdr:colOff>152400</xdr:colOff>
      <xdr:row>17</xdr:row>
      <xdr:rowOff>9525</xdr:rowOff>
    </xdr:from>
    <xdr:to>
      <xdr:col>17</xdr:col>
      <xdr:colOff>304800</xdr:colOff>
      <xdr:row>21</xdr:row>
      <xdr:rowOff>9525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DB4ECA9A-EA72-4E9D-9DB3-6CECB37DA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3248025"/>
          <a:ext cx="762000" cy="76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5A4ACB0-A48D-463F-B71B-454189FF525C}"/>
            </a:ext>
          </a:extLst>
        </xdr:cNvPr>
        <xdr:cNvSpPr/>
      </xdr:nvSpPr>
      <xdr:spPr>
        <a:xfrm>
          <a:off x="11068050" y="57150"/>
          <a:ext cx="6191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C13" totalsRowShown="0" headerRowDxfId="20" headerRowBorderDxfId="19">
  <tableColumns count="29">
    <tableColumn id="1" xr3:uid="{01FEB0E5-52BE-4347-BF57-CD16D27B937B}" name="DT RECEBIMENTO" dataDxfId="8"/>
    <tableColumn id="2" xr3:uid="{42D256E5-7905-43C7-B146-BAE1FF4F13EA}" name="DT VISTORIA" dataDxfId="7"/>
    <tableColumn id="3" xr3:uid="{BCCE59B5-8188-4C7C-95C2-715E226A28AA}" name="DT ENTREGA " dataDxfId="5"/>
    <tableColumn id="4" xr3:uid="{DD2FFDF0-7DCD-40B2-BE5B-713ED98D0855}" name="NF" dataDxfId="6"/>
    <tableColumn id="5" xr3:uid="{71C6BD3C-6436-486E-BD85-7935791CB966}" name="SINISTRO" dataDxfId="18"/>
    <tableColumn id="6" xr3:uid="{D289DEB5-E97A-4D43-B4F7-902CC070659C}" name="APÓLICE" dataDxfId="17"/>
    <tableColumn id="7" xr3:uid="{06DE9BC2-A40D-4D00-BB45-8E4F7789BE84}" name="PROPOSTA" dataDxfId="16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15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14"/>
    <tableColumn id="17" xr3:uid="{EE10B1C6-6DEE-4AD7-9D78-EC246389C2FB}" name="AREA VISTORIADA" dataDxfId="13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4"/>
    <tableColumn id="29" xr3:uid="{9ADDC96C-C7C9-4998-B013-EAD28F652506}" name="STATUS" dataCellStyle="Moed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Y18" totalsRowShown="0" headerRowDxfId="22" headerRowBorderDxfId="21">
  <autoFilter ref="A1:Y18" xr:uid="{FE73AA1C-B9ED-492E-8AE3-B38E29EF85F8}"/>
  <tableColumns count="25">
    <tableColumn id="1" xr3:uid="{4CEAFE11-4BD7-40FD-A919-BB52A3784B3A}" name="DT RECEBIMENTO" dataDxfId="3"/>
    <tableColumn id="2" xr3:uid="{8D491FBA-8D6E-4D68-9169-C6C807F705B7}" name="NF"/>
    <tableColumn id="3" xr3:uid="{894BE3F1-C62B-4DDF-B040-E03CA1F61E2E}" name="DT VISTORIA " dataDxfId="2"/>
    <tableColumn id="4" xr3:uid="{3A5AA30B-7316-4054-B0A5-D3050BE0A17C}" name="DT REVISTORIA" dataDxfId="1"/>
    <tableColumn id="5" xr3:uid="{5762346C-BDE6-44E8-817C-91E54D27767E}" name="APÓLICE 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0"/>
    <tableColumn id="24" xr3:uid="{A430FF16-32B9-4825-820C-70015B1C820E}" name="SINISTRO"/>
    <tableColumn id="25" xr3:uid="{C265E17B-F270-4AB8-B676-FBBABF2D6FB1}" name="KM R$" dataCellStyle="Moe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5" totalsRowShown="0" headerRowDxfId="12" headerRowBorderDxfId="11">
  <autoFilter ref="A1:E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6" totalsRowShown="0" headerRowDxfId="10" headerRowBorderDxfId="9">
  <autoFilter ref="A1:F6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/>
    <tableColumn id="5" xr3:uid="{605420F8-6CFD-43FC-98CD-F68974D03019}" name="REFEIÇÃO R$"/>
    <tableColumn id="6" xr3:uid="{E406B1A8-FE43-4F46-B098-C8F386E557B1}" name="HOSPEDAGEM R$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workbookViewId="0">
      <selection activeCell="E4" sqref="E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C13"/>
  <sheetViews>
    <sheetView topLeftCell="AA1" workbookViewId="0">
      <selection activeCell="AC2" sqref="AC2:AC13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8" width="21.7109375" style="1" customWidth="1"/>
    <col min="29" max="29" width="12.28515625" bestFit="1" customWidth="1"/>
  </cols>
  <sheetData>
    <row r="1" spans="1:29" s="3" customFormat="1" ht="30" customHeight="1" x14ac:dyDescent="0.25">
      <c r="A1" s="14" t="s">
        <v>160</v>
      </c>
      <c r="B1" s="14" t="s">
        <v>163</v>
      </c>
      <c r="C1" s="14" t="s">
        <v>164</v>
      </c>
      <c r="D1" s="11" t="s">
        <v>46</v>
      </c>
      <c r="E1" s="11" t="s">
        <v>64</v>
      </c>
      <c r="F1" s="11" t="s">
        <v>65</v>
      </c>
      <c r="G1" s="9" t="s">
        <v>66</v>
      </c>
      <c r="H1" s="2" t="s">
        <v>49</v>
      </c>
      <c r="I1" s="2" t="s">
        <v>67</v>
      </c>
      <c r="J1" s="2" t="s">
        <v>50</v>
      </c>
      <c r="K1" s="2" t="s">
        <v>51</v>
      </c>
      <c r="L1" s="2" t="s">
        <v>68</v>
      </c>
      <c r="M1" s="2" t="s">
        <v>69</v>
      </c>
      <c r="N1" s="2" t="s">
        <v>53</v>
      </c>
      <c r="O1" s="2" t="s">
        <v>70</v>
      </c>
      <c r="P1" s="9" t="s">
        <v>71</v>
      </c>
      <c r="Q1" s="9" t="s">
        <v>72</v>
      </c>
      <c r="R1" s="2" t="s">
        <v>161</v>
      </c>
      <c r="S1" s="16" t="s">
        <v>73</v>
      </c>
      <c r="T1" s="2" t="s">
        <v>74</v>
      </c>
      <c r="U1" s="16" t="s">
        <v>75</v>
      </c>
      <c r="V1" s="2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6" t="s">
        <v>173</v>
      </c>
      <c r="AC1" s="2" t="s">
        <v>181</v>
      </c>
    </row>
    <row r="2" spans="1:29" x14ac:dyDescent="0.25">
      <c r="A2" s="15">
        <v>44197</v>
      </c>
      <c r="B2" s="15">
        <v>44197</v>
      </c>
      <c r="C2" s="15" t="s">
        <v>92</v>
      </c>
      <c r="E2" s="12">
        <v>1</v>
      </c>
      <c r="F2" s="12">
        <v>251</v>
      </c>
      <c r="H2" t="s">
        <v>106</v>
      </c>
      <c r="I2" t="s">
        <v>108</v>
      </c>
      <c r="J2" t="s">
        <v>32</v>
      </c>
      <c r="K2" s="13" t="s">
        <v>4</v>
      </c>
      <c r="M2" t="s">
        <v>83</v>
      </c>
      <c r="N2" t="s">
        <v>82</v>
      </c>
      <c r="P2" s="10">
        <v>58</v>
      </c>
      <c r="R2" t="s">
        <v>110</v>
      </c>
      <c r="AB2" s="1">
        <v>44124</v>
      </c>
      <c r="AC2" s="17" t="s">
        <v>182</v>
      </c>
    </row>
    <row r="3" spans="1:29" x14ac:dyDescent="0.25">
      <c r="A3" s="15">
        <v>44197</v>
      </c>
      <c r="B3" s="15" t="s">
        <v>92</v>
      </c>
      <c r="C3" s="15" t="s">
        <v>92</v>
      </c>
      <c r="D3" s="12">
        <v>2</v>
      </c>
      <c r="E3" s="12">
        <v>2</v>
      </c>
      <c r="F3" s="12">
        <v>6558</v>
      </c>
      <c r="H3" t="s">
        <v>107</v>
      </c>
      <c r="I3" t="s">
        <v>109</v>
      </c>
      <c r="J3" t="s">
        <v>33</v>
      </c>
      <c r="K3" s="13" t="s">
        <v>3</v>
      </c>
      <c r="M3" t="s">
        <v>87</v>
      </c>
      <c r="N3" t="s">
        <v>1</v>
      </c>
      <c r="P3" s="10">
        <v>10</v>
      </c>
      <c r="R3" t="s">
        <v>111</v>
      </c>
      <c r="AB3" s="1">
        <v>44124</v>
      </c>
      <c r="AC3" s="17" t="s">
        <v>183</v>
      </c>
    </row>
    <row r="4" spans="1:29" x14ac:dyDescent="0.25">
      <c r="A4" s="15">
        <v>44197</v>
      </c>
      <c r="B4" s="15" t="s">
        <v>141</v>
      </c>
      <c r="C4" s="15" t="s">
        <v>92</v>
      </c>
      <c r="E4" s="12">
        <v>3</v>
      </c>
      <c r="F4" s="12">
        <v>500</v>
      </c>
      <c r="G4" s="10">
        <v>250</v>
      </c>
      <c r="H4" t="s">
        <v>85</v>
      </c>
      <c r="I4" t="s">
        <v>86</v>
      </c>
      <c r="J4" t="s">
        <v>30</v>
      </c>
      <c r="K4" s="13" t="s">
        <v>18</v>
      </c>
      <c r="M4" t="s">
        <v>93</v>
      </c>
      <c r="N4" t="s">
        <v>2</v>
      </c>
      <c r="O4" t="s">
        <v>118</v>
      </c>
      <c r="P4" s="10">
        <v>50</v>
      </c>
      <c r="Q4" s="10">
        <v>50</v>
      </c>
      <c r="R4" t="s">
        <v>112</v>
      </c>
      <c r="T4">
        <v>100</v>
      </c>
      <c r="U4" s="17">
        <v>130</v>
      </c>
      <c r="X4" s="17">
        <v>50</v>
      </c>
      <c r="Y4" s="17">
        <v>20</v>
      </c>
      <c r="AB4" s="1">
        <v>44124</v>
      </c>
      <c r="AC4" s="17" t="s">
        <v>182</v>
      </c>
    </row>
    <row r="5" spans="1:29" x14ac:dyDescent="0.25">
      <c r="A5" s="15">
        <v>43863</v>
      </c>
      <c r="B5" s="15">
        <v>44229</v>
      </c>
      <c r="C5" s="15" t="s">
        <v>92</v>
      </c>
      <c r="D5" s="12">
        <v>4</v>
      </c>
      <c r="E5" s="12">
        <v>4</v>
      </c>
      <c r="F5" s="12">
        <v>400</v>
      </c>
      <c r="H5" t="s">
        <v>94</v>
      </c>
      <c r="J5" t="s">
        <v>33</v>
      </c>
      <c r="K5" s="13" t="s">
        <v>18</v>
      </c>
      <c r="M5" t="s">
        <v>95</v>
      </c>
      <c r="N5" t="s">
        <v>2</v>
      </c>
      <c r="P5" s="10">
        <v>411</v>
      </c>
      <c r="R5" t="s">
        <v>113</v>
      </c>
      <c r="AB5" s="1">
        <v>44124</v>
      </c>
      <c r="AC5" s="17" t="s">
        <v>182</v>
      </c>
    </row>
    <row r="6" spans="1:29" x14ac:dyDescent="0.25">
      <c r="A6" s="15">
        <v>44197</v>
      </c>
      <c r="B6" s="15">
        <v>2</v>
      </c>
      <c r="C6" s="15">
        <v>3</v>
      </c>
      <c r="D6" s="12">
        <v>4</v>
      </c>
      <c r="E6" s="12">
        <v>5</v>
      </c>
      <c r="F6" s="12">
        <v>6</v>
      </c>
      <c r="G6" s="10">
        <v>7</v>
      </c>
      <c r="H6">
        <v>8</v>
      </c>
      <c r="I6">
        <v>9</v>
      </c>
      <c r="J6">
        <v>10</v>
      </c>
      <c r="K6" s="13">
        <v>11</v>
      </c>
      <c r="L6">
        <v>12</v>
      </c>
      <c r="M6">
        <v>13</v>
      </c>
      <c r="N6">
        <v>14</v>
      </c>
      <c r="O6">
        <v>15</v>
      </c>
      <c r="P6" s="10">
        <v>16</v>
      </c>
      <c r="Q6" s="10">
        <v>17</v>
      </c>
      <c r="R6">
        <v>18</v>
      </c>
      <c r="S6" s="17">
        <v>19</v>
      </c>
      <c r="T6">
        <v>20</v>
      </c>
      <c r="U6" s="17">
        <v>21</v>
      </c>
      <c r="V6">
        <v>22</v>
      </c>
      <c r="W6" s="17">
        <v>23</v>
      </c>
      <c r="X6" s="17">
        <v>24</v>
      </c>
      <c r="Y6" s="17">
        <v>25</v>
      </c>
      <c r="Z6" s="17">
        <v>26</v>
      </c>
      <c r="AA6" s="17">
        <v>27</v>
      </c>
      <c r="AB6" s="1">
        <v>44124</v>
      </c>
      <c r="AC6" s="17" t="s">
        <v>183</v>
      </c>
    </row>
    <row r="7" spans="1:29" x14ac:dyDescent="0.25">
      <c r="A7" s="15">
        <v>44197</v>
      </c>
      <c r="B7" s="15">
        <v>44197</v>
      </c>
      <c r="C7" s="15">
        <v>650</v>
      </c>
      <c r="E7" s="12">
        <v>6</v>
      </c>
      <c r="F7" s="12">
        <v>525</v>
      </c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R7" t="s">
        <v>113</v>
      </c>
      <c r="AB7" s="1">
        <v>44124</v>
      </c>
      <c r="AC7" s="17" t="s">
        <v>182</v>
      </c>
    </row>
    <row r="8" spans="1:29" x14ac:dyDescent="0.25">
      <c r="A8" s="15">
        <v>44197</v>
      </c>
      <c r="B8" s="15" t="s">
        <v>134</v>
      </c>
      <c r="C8" s="15">
        <v>55</v>
      </c>
      <c r="D8" s="12">
        <v>12</v>
      </c>
      <c r="E8" s="12">
        <v>7</v>
      </c>
      <c r="F8" s="12">
        <v>2215</v>
      </c>
      <c r="H8" t="s">
        <v>124</v>
      </c>
      <c r="I8" t="s">
        <v>2</v>
      </c>
      <c r="J8" t="s">
        <v>30</v>
      </c>
      <c r="K8" s="13" t="s">
        <v>18</v>
      </c>
      <c r="M8" t="s">
        <v>125</v>
      </c>
      <c r="N8" t="s">
        <v>91</v>
      </c>
      <c r="O8" t="s">
        <v>119</v>
      </c>
      <c r="P8" s="10">
        <v>100</v>
      </c>
      <c r="Q8" s="10">
        <v>100</v>
      </c>
      <c r="R8" t="s">
        <v>113</v>
      </c>
      <c r="T8">
        <v>100</v>
      </c>
      <c r="U8" s="17">
        <v>100</v>
      </c>
      <c r="V8">
        <v>10</v>
      </c>
      <c r="W8" s="17">
        <v>11</v>
      </c>
      <c r="X8" s="17">
        <v>50</v>
      </c>
      <c r="Y8" s="17">
        <v>50</v>
      </c>
      <c r="Z8" s="17">
        <v>10</v>
      </c>
      <c r="AB8" s="1">
        <v>44124</v>
      </c>
      <c r="AC8" s="17" t="s">
        <v>183</v>
      </c>
    </row>
    <row r="9" spans="1:29" x14ac:dyDescent="0.25">
      <c r="A9" s="15">
        <v>44197</v>
      </c>
      <c r="B9" s="15" t="s">
        <v>134</v>
      </c>
      <c r="C9" s="15">
        <v>44197</v>
      </c>
      <c r="D9" s="12">
        <v>18</v>
      </c>
      <c r="E9" s="12">
        <v>8</v>
      </c>
      <c r="F9" s="12">
        <v>45852</v>
      </c>
      <c r="H9" t="s">
        <v>126</v>
      </c>
      <c r="I9" t="s">
        <v>2</v>
      </c>
      <c r="J9" t="s">
        <v>30</v>
      </c>
      <c r="K9" s="13" t="s">
        <v>18</v>
      </c>
      <c r="M9" t="s">
        <v>127</v>
      </c>
      <c r="N9" t="s">
        <v>91</v>
      </c>
      <c r="O9" t="s">
        <v>118</v>
      </c>
      <c r="P9" s="10">
        <v>10</v>
      </c>
      <c r="Q9" s="10">
        <v>10</v>
      </c>
      <c r="R9" t="s">
        <v>110</v>
      </c>
      <c r="T9">
        <v>11</v>
      </c>
      <c r="U9" s="17">
        <v>12</v>
      </c>
      <c r="V9">
        <v>16</v>
      </c>
      <c r="W9" s="17">
        <v>17</v>
      </c>
      <c r="X9" s="17">
        <v>13</v>
      </c>
      <c r="Y9" s="17">
        <v>14</v>
      </c>
      <c r="Z9" s="17">
        <v>15</v>
      </c>
      <c r="AB9" s="1">
        <v>44124</v>
      </c>
      <c r="AC9" s="17" t="s">
        <v>182</v>
      </c>
    </row>
    <row r="10" spans="1:29" x14ac:dyDescent="0.25">
      <c r="A10" s="15">
        <v>44228</v>
      </c>
      <c r="B10" s="15">
        <v>44197</v>
      </c>
      <c r="C10" s="15">
        <v>44197</v>
      </c>
      <c r="E10" s="12">
        <v>9</v>
      </c>
      <c r="F10" s="12">
        <v>125</v>
      </c>
      <c r="G10" s="10">
        <v>125</v>
      </c>
      <c r="H10" t="s">
        <v>129</v>
      </c>
      <c r="I10" t="s">
        <v>128</v>
      </c>
      <c r="J10" t="s">
        <v>30</v>
      </c>
      <c r="K10" s="13" t="s">
        <v>18</v>
      </c>
      <c r="M10" t="s">
        <v>93</v>
      </c>
      <c r="N10" t="s">
        <v>91</v>
      </c>
      <c r="P10" s="10">
        <v>15</v>
      </c>
      <c r="R10" t="s">
        <v>115</v>
      </c>
      <c r="AB10" s="1">
        <v>44124</v>
      </c>
      <c r="AC10" s="17" t="s">
        <v>182</v>
      </c>
    </row>
    <row r="11" spans="1:29" x14ac:dyDescent="0.25">
      <c r="A11" s="15">
        <v>44197</v>
      </c>
      <c r="B11" s="15">
        <v>44197</v>
      </c>
      <c r="C11" s="15" t="s">
        <v>92</v>
      </c>
      <c r="E11" s="12">
        <v>10</v>
      </c>
      <c r="F11" s="12">
        <v>158</v>
      </c>
      <c r="G11" s="10">
        <v>123</v>
      </c>
      <c r="H11" t="s">
        <v>133</v>
      </c>
      <c r="I11" t="s">
        <v>132</v>
      </c>
      <c r="J11" t="s">
        <v>30</v>
      </c>
      <c r="K11" s="13" t="s">
        <v>18</v>
      </c>
      <c r="M11" t="s">
        <v>93</v>
      </c>
      <c r="N11" t="s">
        <v>91</v>
      </c>
      <c r="P11" s="10">
        <v>10</v>
      </c>
      <c r="R11" t="s">
        <v>114</v>
      </c>
      <c r="AB11" s="1">
        <v>44124</v>
      </c>
      <c r="AC11" s="17" t="s">
        <v>183</v>
      </c>
    </row>
    <row r="12" spans="1:29" x14ac:dyDescent="0.25">
      <c r="A12" s="15">
        <v>44197</v>
      </c>
      <c r="B12" s="15">
        <v>44197</v>
      </c>
      <c r="C12" s="15">
        <v>44229</v>
      </c>
      <c r="E12" s="12">
        <v>1525</v>
      </c>
      <c r="F12" s="12">
        <v>1225</v>
      </c>
      <c r="G12" s="10">
        <v>1232</v>
      </c>
      <c r="H12" t="s">
        <v>176</v>
      </c>
      <c r="I12" t="s">
        <v>175</v>
      </c>
      <c r="J12" t="s">
        <v>30</v>
      </c>
      <c r="K12" s="13" t="s">
        <v>18</v>
      </c>
      <c r="M12" t="s">
        <v>156</v>
      </c>
      <c r="N12" t="s">
        <v>91</v>
      </c>
      <c r="O12" t="s">
        <v>121</v>
      </c>
      <c r="P12" s="10">
        <v>50</v>
      </c>
      <c r="R12" t="s">
        <v>111</v>
      </c>
      <c r="S12" s="17">
        <v>150</v>
      </c>
      <c r="T12">
        <v>150</v>
      </c>
      <c r="U12" s="17">
        <v>150</v>
      </c>
      <c r="V12">
        <v>150</v>
      </c>
      <c r="W12" s="17">
        <v>150</v>
      </c>
      <c r="X12" s="17">
        <v>150</v>
      </c>
      <c r="Y12" s="17">
        <v>150</v>
      </c>
      <c r="Z12" s="17">
        <v>150</v>
      </c>
      <c r="AA12" s="17">
        <v>150</v>
      </c>
      <c r="AB12" s="1">
        <v>44124</v>
      </c>
      <c r="AC12" s="17" t="s">
        <v>182</v>
      </c>
    </row>
    <row r="13" spans="1:29" x14ac:dyDescent="0.25">
      <c r="A13" s="15">
        <v>44197</v>
      </c>
      <c r="B13" s="15">
        <v>44226</v>
      </c>
      <c r="C13" s="15" t="s">
        <v>177</v>
      </c>
      <c r="E13" s="12">
        <v>122</v>
      </c>
      <c r="F13" s="12">
        <v>122</v>
      </c>
      <c r="G13" s="10">
        <v>122</v>
      </c>
      <c r="H13" t="s">
        <v>178</v>
      </c>
      <c r="I13" t="s">
        <v>2</v>
      </c>
      <c r="J13" t="s">
        <v>30</v>
      </c>
      <c r="K13" s="13" t="s">
        <v>18</v>
      </c>
      <c r="M13" t="s">
        <v>156</v>
      </c>
      <c r="N13" t="s">
        <v>99</v>
      </c>
      <c r="O13" t="s">
        <v>121</v>
      </c>
      <c r="P13" s="10" t="s">
        <v>179</v>
      </c>
      <c r="R13" t="s">
        <v>112</v>
      </c>
      <c r="AB13" s="1">
        <v>44124</v>
      </c>
      <c r="AC13" s="17" t="s">
        <v>182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C10"/>
  <sheetViews>
    <sheetView showGridLines="0" topLeftCell="B1" workbookViewId="0">
      <selection sqref="A1:XFD1"/>
    </sheetView>
  </sheetViews>
  <sheetFormatPr defaultRowHeight="15" x14ac:dyDescent="0.25"/>
  <cols>
    <col min="1" max="1" width="23.42578125" hidden="1" customWidth="1"/>
    <col min="2" max="2" width="12" bestFit="1" customWidth="1"/>
    <col min="3" max="4" width="23.42578125" hidden="1" customWidth="1"/>
    <col min="5" max="5" width="10.7109375" bestFit="1" customWidth="1"/>
    <col min="6" max="6" width="8.42578125" bestFit="1" customWidth="1"/>
    <col min="7" max="7" width="10.7109375" bestFit="1" customWidth="1"/>
    <col min="8" max="8" width="14.85546875" customWidth="1"/>
    <col min="9" max="9" width="23.42578125" hidden="1" customWidth="1"/>
    <col min="10" max="10" width="12" bestFit="1" customWidth="1"/>
    <col min="11" max="11" width="6.7109375" customWidth="1"/>
    <col min="12" max="12" width="23.42578125" hidden="1" customWidth="1"/>
    <col min="13" max="13" width="13.5703125" bestFit="1" customWidth="1"/>
    <col min="14" max="14" width="23.42578125" hidden="1" customWidth="1"/>
    <col min="15" max="15" width="15.140625" bestFit="1" customWidth="1"/>
    <col min="16" max="18" width="23.42578125" hidden="1" customWidth="1"/>
    <col min="19" max="19" width="17.28515625" bestFit="1" customWidth="1"/>
    <col min="20" max="20" width="19.28515625" hidden="1" customWidth="1"/>
    <col min="21" max="21" width="14.5703125" bestFit="1" customWidth="1"/>
    <col min="22" max="23" width="23.42578125" hidden="1" customWidth="1"/>
    <col min="24" max="24" width="10.140625" bestFit="1" customWidth="1"/>
    <col min="25" max="25" width="11" bestFit="1" customWidth="1"/>
    <col min="26" max="26" width="10.28515625" bestFit="1" customWidth="1"/>
    <col min="27" max="27" width="10.140625" bestFit="1" customWidth="1"/>
    <col min="28" max="29" width="23.42578125" hidden="1" customWidth="1"/>
    <col min="30" max="30" width="6.7109375" customWidth="1"/>
  </cols>
  <sheetData>
    <row r="1" spans="1:29" ht="36" customHeight="1" thickBot="1" x14ac:dyDescent="0.4">
      <c r="A1" s="30" t="s">
        <v>188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</row>
    <row r="2" spans="1:29" x14ac:dyDescent="0.25">
      <c r="B2" t="s">
        <v>185</v>
      </c>
      <c r="E2" s="31">
        <v>43831</v>
      </c>
      <c r="F2" s="32" t="s">
        <v>184</v>
      </c>
      <c r="G2" s="31">
        <v>44227</v>
      </c>
      <c r="J2" s="22" t="s">
        <v>163</v>
      </c>
      <c r="K2" s="22" t="s">
        <v>163</v>
      </c>
      <c r="L2" s="23" t="s">
        <v>53</v>
      </c>
      <c r="M2" s="23" t="s">
        <v>161</v>
      </c>
      <c r="N2" s="21"/>
      <c r="O2" s="21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</row>
    <row r="3" spans="1:29" x14ac:dyDescent="0.25">
      <c r="B3" s="35" t="s">
        <v>186</v>
      </c>
      <c r="C3" s="33" t="s">
        <v>91</v>
      </c>
      <c r="D3" s="33"/>
      <c r="E3" s="33"/>
      <c r="F3" s="33"/>
      <c r="G3" s="33"/>
      <c r="J3" s="34" t="str">
        <f>"&gt;="&amp;IF($E$2="",0,$E$2)</f>
        <v>&gt;=43831</v>
      </c>
      <c r="K3" s="34" t="str">
        <f>"&lt;="&amp;IF($G$2="",99999,$G$2)</f>
        <v>&lt;=44227</v>
      </c>
      <c r="L3" s="34" t="str">
        <f>IF($C$3&lt;&gt;"",$C$3,"")</f>
        <v>Marcilio</v>
      </c>
      <c r="M3" s="34" t="str">
        <f>IF($C$4&lt;&gt;"",$C$4,"")</f>
        <v/>
      </c>
      <c r="N3" s="21"/>
      <c r="O3" s="21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</row>
    <row r="4" spans="1:29" x14ac:dyDescent="0.25">
      <c r="B4" s="35" t="s">
        <v>187</v>
      </c>
      <c r="C4" s="33"/>
      <c r="D4" s="33"/>
      <c r="E4" s="33"/>
      <c r="F4" s="33"/>
      <c r="G4" s="33"/>
      <c r="J4" s="21"/>
      <c r="K4" s="21"/>
      <c r="L4" s="21"/>
      <c r="M4" s="21"/>
      <c r="N4" s="21"/>
      <c r="O4" s="21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</row>
    <row r="5" spans="1:29" x14ac:dyDescent="0.25"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29" x14ac:dyDescent="0.25">
      <c r="A6" s="24" t="s">
        <v>160</v>
      </c>
      <c r="B6" s="19" t="s">
        <v>163</v>
      </c>
      <c r="C6" s="19" t="s">
        <v>164</v>
      </c>
      <c r="D6" s="25" t="s">
        <v>46</v>
      </c>
      <c r="E6" s="25" t="s">
        <v>64</v>
      </c>
      <c r="F6" s="25" t="s">
        <v>65</v>
      </c>
      <c r="G6" s="26" t="s">
        <v>66</v>
      </c>
      <c r="H6" s="20" t="s">
        <v>49</v>
      </c>
      <c r="I6" s="20" t="s">
        <v>67</v>
      </c>
      <c r="J6" s="20" t="s">
        <v>50</v>
      </c>
      <c r="K6" s="20" t="s">
        <v>51</v>
      </c>
      <c r="L6" s="20" t="s">
        <v>68</v>
      </c>
      <c r="M6" s="20" t="s">
        <v>69</v>
      </c>
      <c r="N6" s="20" t="s">
        <v>53</v>
      </c>
      <c r="O6" s="20" t="s">
        <v>70</v>
      </c>
      <c r="P6" s="26" t="s">
        <v>71</v>
      </c>
      <c r="Q6" s="26" t="s">
        <v>72</v>
      </c>
      <c r="R6" s="20" t="s">
        <v>161</v>
      </c>
      <c r="S6" s="18" t="s">
        <v>73</v>
      </c>
      <c r="T6" s="20" t="s">
        <v>74</v>
      </c>
      <c r="U6" s="18" t="s">
        <v>75</v>
      </c>
      <c r="V6" s="20" t="s">
        <v>76</v>
      </c>
      <c r="W6" s="18" t="s">
        <v>77</v>
      </c>
      <c r="X6" s="18" t="s">
        <v>78</v>
      </c>
      <c r="Y6" s="18" t="s">
        <v>79</v>
      </c>
      <c r="Z6" s="18" t="s">
        <v>80</v>
      </c>
      <c r="AA6" s="18" t="s">
        <v>81</v>
      </c>
      <c r="AB6" s="27" t="s">
        <v>173</v>
      </c>
      <c r="AC6" s="28" t="s">
        <v>181</v>
      </c>
    </row>
    <row r="7" spans="1:29" x14ac:dyDescent="0.25">
      <c r="A7" s="15">
        <v>44197</v>
      </c>
      <c r="B7" s="15">
        <v>44197</v>
      </c>
      <c r="C7" s="15">
        <v>650</v>
      </c>
      <c r="D7" s="12"/>
      <c r="E7" s="12">
        <v>6</v>
      </c>
      <c r="F7" s="12">
        <v>525</v>
      </c>
      <c r="G7" s="10"/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Q7" s="10"/>
      <c r="R7" t="s">
        <v>113</v>
      </c>
      <c r="S7" s="17"/>
      <c r="U7" s="17"/>
      <c r="W7" s="17"/>
      <c r="X7" s="17"/>
      <c r="Y7" s="17"/>
      <c r="Z7" s="17"/>
      <c r="AA7" s="17"/>
      <c r="AB7" s="1">
        <v>44124</v>
      </c>
      <c r="AC7" s="17" t="s">
        <v>182</v>
      </c>
    </row>
    <row r="8" spans="1:29" x14ac:dyDescent="0.25">
      <c r="A8" s="15">
        <v>44228</v>
      </c>
      <c r="B8" s="15">
        <v>44197</v>
      </c>
      <c r="C8" s="15">
        <v>44197</v>
      </c>
      <c r="D8" s="12"/>
      <c r="E8" s="12">
        <v>9</v>
      </c>
      <c r="F8" s="12">
        <v>125</v>
      </c>
      <c r="G8" s="10">
        <v>125</v>
      </c>
      <c r="H8" t="s">
        <v>129</v>
      </c>
      <c r="I8" t="s">
        <v>128</v>
      </c>
      <c r="J8" t="s">
        <v>30</v>
      </c>
      <c r="K8" s="13" t="s">
        <v>18</v>
      </c>
      <c r="M8" t="s">
        <v>93</v>
      </c>
      <c r="N8" t="s">
        <v>91</v>
      </c>
      <c r="P8" s="10">
        <v>15</v>
      </c>
      <c r="Q8" s="10"/>
      <c r="R8" t="s">
        <v>115</v>
      </c>
      <c r="S8" s="17"/>
      <c r="U8" s="17"/>
      <c r="W8" s="17"/>
      <c r="X8" s="17"/>
      <c r="Y8" s="17"/>
      <c r="Z8" s="17"/>
      <c r="AA8" s="17"/>
      <c r="AB8" s="1">
        <v>44124</v>
      </c>
      <c r="AC8" s="17" t="s">
        <v>182</v>
      </c>
    </row>
    <row r="9" spans="1:29" x14ac:dyDescent="0.25">
      <c r="A9" s="15">
        <v>44197</v>
      </c>
      <c r="B9" s="15">
        <v>44197</v>
      </c>
      <c r="C9" s="15" t="s">
        <v>92</v>
      </c>
      <c r="D9" s="12"/>
      <c r="E9" s="12">
        <v>10</v>
      </c>
      <c r="F9" s="12">
        <v>158</v>
      </c>
      <c r="G9" s="10">
        <v>123</v>
      </c>
      <c r="H9" t="s">
        <v>133</v>
      </c>
      <c r="I9" t="s">
        <v>132</v>
      </c>
      <c r="J9" t="s">
        <v>30</v>
      </c>
      <c r="K9" s="13" t="s">
        <v>18</v>
      </c>
      <c r="M9" t="s">
        <v>93</v>
      </c>
      <c r="N9" t="s">
        <v>91</v>
      </c>
      <c r="P9" s="10">
        <v>10</v>
      </c>
      <c r="Q9" s="10"/>
      <c r="R9" t="s">
        <v>114</v>
      </c>
      <c r="S9" s="17"/>
      <c r="U9" s="17"/>
      <c r="W9" s="17"/>
      <c r="X9" s="17"/>
      <c r="Y9" s="17"/>
      <c r="Z9" s="17"/>
      <c r="AA9" s="17"/>
      <c r="AB9" s="1">
        <v>44124</v>
      </c>
      <c r="AC9" s="17" t="s">
        <v>183</v>
      </c>
    </row>
    <row r="10" spans="1:29" x14ac:dyDescent="0.25">
      <c r="A10" s="15">
        <v>44197</v>
      </c>
      <c r="B10" s="15">
        <v>44197</v>
      </c>
      <c r="C10" s="15">
        <v>44229</v>
      </c>
      <c r="D10" s="12"/>
      <c r="E10" s="12">
        <v>1525</v>
      </c>
      <c r="F10" s="12">
        <v>1225</v>
      </c>
      <c r="G10" s="10">
        <v>1232</v>
      </c>
      <c r="H10" t="s">
        <v>176</v>
      </c>
      <c r="I10" t="s">
        <v>175</v>
      </c>
      <c r="J10" t="s">
        <v>30</v>
      </c>
      <c r="K10" s="13" t="s">
        <v>18</v>
      </c>
      <c r="M10" t="s">
        <v>156</v>
      </c>
      <c r="N10" t="s">
        <v>91</v>
      </c>
      <c r="P10" s="10">
        <v>50</v>
      </c>
      <c r="Q10" s="10"/>
      <c r="R10" t="s">
        <v>111</v>
      </c>
      <c r="S10" s="17">
        <v>150</v>
      </c>
      <c r="T10">
        <v>150</v>
      </c>
      <c r="U10" s="17">
        <v>150</v>
      </c>
      <c r="V10">
        <v>150</v>
      </c>
      <c r="W10" s="17">
        <v>150</v>
      </c>
      <c r="X10" s="17">
        <v>150</v>
      </c>
      <c r="Y10" s="17">
        <v>150</v>
      </c>
      <c r="Z10" s="17">
        <v>150</v>
      </c>
      <c r="AA10" s="17">
        <v>150</v>
      </c>
      <c r="AB10" s="1">
        <v>44124</v>
      </c>
      <c r="AC10" s="17" t="s">
        <v>182</v>
      </c>
    </row>
  </sheetData>
  <mergeCells count="3">
    <mergeCell ref="A1:AA1"/>
    <mergeCell ref="C3:G3"/>
    <mergeCell ref="C4:G4"/>
  </mergeCells>
  <pageMargins left="0.51181102362204722" right="0.51181102362204722" top="0.78740157480314965" bottom="0.78740157480314965" header="0.31496062992125984" footer="0.31496062992125984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D9FBC2-E99C-45E5-9E4D-3F74D5DE43A7}">
          <x14:formula1>
            <xm:f>CadSeguradora!$B$2:$B$22</xm:f>
          </x14:formula1>
          <xm:sqref>C4</xm:sqref>
        </x14:dataValidation>
        <x14:dataValidation type="list" allowBlank="1" showInputMessage="1" showErrorMessage="1" xr:uid="{2756B05D-3D76-4669-9F7B-1FDEE00DA2E3}">
          <x14:formula1>
            <xm:f>CadPerito!$A$2:$A$21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CB35-7916-450F-AC10-13BB1A3E30D9}">
  <sheetPr codeName="Planilha14"/>
  <dimension ref="A1:AA8"/>
  <sheetViews>
    <sheetView topLeftCell="K1" workbookViewId="0">
      <selection activeCell="S2" sqref="S1:W1048576"/>
    </sheetView>
  </sheetViews>
  <sheetFormatPr defaultRowHeight="15" x14ac:dyDescent="0.25"/>
  <cols>
    <col min="1" max="1" width="16.5703125" hidden="1" customWidth="1"/>
    <col min="2" max="2" width="3.42578125" hidden="1" customWidth="1"/>
    <col min="3" max="3" width="12.42578125" bestFit="1" customWidth="1"/>
    <col min="4" max="4" width="14.28515625" hidden="1" customWidth="1"/>
    <col min="5" max="5" width="8.85546875" bestFit="1" customWidth="1"/>
    <col min="6" max="6" width="17.28515625" customWidth="1"/>
    <col min="7" max="7" width="11.5703125" bestFit="1" customWidth="1"/>
    <col min="8" max="8" width="3.42578125" bestFit="1" customWidth="1"/>
    <col min="9" max="9" width="22.7109375" hidden="1" customWidth="1"/>
    <col min="10" max="10" width="7.7109375" hidden="1" customWidth="1"/>
    <col min="11" max="11" width="18.140625" bestFit="1" customWidth="1"/>
    <col min="12" max="12" width="5.28515625" hidden="1" customWidth="1"/>
    <col min="13" max="13" width="11.42578125" bestFit="1" customWidth="1"/>
    <col min="14" max="14" width="8.85546875" bestFit="1" customWidth="1"/>
    <col min="15" max="15" width="11.85546875" bestFit="1" customWidth="1"/>
    <col min="16" max="16" width="17.85546875" bestFit="1" customWidth="1"/>
    <col min="17" max="17" width="18.42578125" bestFit="1" customWidth="1"/>
    <col min="18" max="18" width="10.7109375" bestFit="1" customWidth="1"/>
    <col min="19" max="19" width="9.7109375" hidden="1" customWidth="1"/>
    <col min="20" max="20" width="13.5703125" hidden="1" customWidth="1"/>
    <col min="21" max="21" width="20.42578125" hidden="1" customWidth="1"/>
    <col min="22" max="22" width="12.28515625" hidden="1" customWidth="1"/>
    <col min="23" max="23" width="16.5703125" hidden="1" customWidth="1"/>
    <col min="25" max="25" width="8" bestFit="1" customWidth="1"/>
  </cols>
  <sheetData>
    <row r="1" spans="1:27" ht="36" customHeight="1" thickBot="1" x14ac:dyDescent="0.4">
      <c r="A1" s="30" t="s">
        <v>189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</row>
    <row r="2" spans="1:27" x14ac:dyDescent="0.25">
      <c r="F2" s="8"/>
      <c r="G2" s="36" t="s">
        <v>163</v>
      </c>
      <c r="H2" s="36" t="s">
        <v>163</v>
      </c>
      <c r="I2" s="37" t="s">
        <v>53</v>
      </c>
      <c r="J2" s="37" t="s">
        <v>161</v>
      </c>
      <c r="K2" s="8"/>
      <c r="L2" s="21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</row>
    <row r="3" spans="1:27" x14ac:dyDescent="0.25">
      <c r="F3" s="8"/>
      <c r="G3" s="38" t="str">
        <f>"&gt;="&amp;IF($E$2="",0,$E$2)</f>
        <v>&gt;=0</v>
      </c>
      <c r="H3" s="38" t="str">
        <f>"&lt;="&amp;IF($G$2="",99999,$G$2)</f>
        <v>&lt;=DT VISTORIA</v>
      </c>
      <c r="I3" s="38" t="str">
        <f>IF($C$3&lt;&gt;"",$C$3,"")</f>
        <v/>
      </c>
      <c r="J3" s="38" t="str">
        <f>IF($C$4&lt;&gt;"",$C$4,"")</f>
        <v/>
      </c>
      <c r="K3" s="8"/>
      <c r="L3" s="21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</row>
    <row r="4" spans="1:27" x14ac:dyDescent="0.25">
      <c r="F4" s="8"/>
      <c r="G4" s="8"/>
      <c r="H4" s="8"/>
      <c r="I4" s="8"/>
      <c r="J4" s="8"/>
      <c r="K4" s="8"/>
      <c r="L4" s="21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</row>
    <row r="5" spans="1:27" x14ac:dyDescent="0.25"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</row>
    <row r="8" spans="1:27" s="5" customFormat="1" ht="30" customHeight="1" x14ac:dyDescent="0.25">
      <c r="A8" s="6" t="s">
        <v>160</v>
      </c>
      <c r="B8" s="4" t="s">
        <v>46</v>
      </c>
      <c r="C8" s="6" t="s">
        <v>47</v>
      </c>
      <c r="D8" s="6" t="s">
        <v>165</v>
      </c>
      <c r="E8" s="4" t="s">
        <v>48</v>
      </c>
      <c r="F8" s="4" t="s">
        <v>49</v>
      </c>
      <c r="G8" s="4" t="s">
        <v>50</v>
      </c>
      <c r="H8" s="4" t="s">
        <v>51</v>
      </c>
      <c r="I8" s="4" t="s">
        <v>52</v>
      </c>
      <c r="J8" s="4" t="s">
        <v>53</v>
      </c>
      <c r="K8" s="16" t="s">
        <v>54</v>
      </c>
      <c r="L8" s="4" t="s">
        <v>55</v>
      </c>
      <c r="M8" s="16" t="s">
        <v>56</v>
      </c>
      <c r="N8" s="16" t="s">
        <v>57</v>
      </c>
      <c r="O8" s="16" t="s">
        <v>58</v>
      </c>
      <c r="P8" s="16" t="s">
        <v>180</v>
      </c>
      <c r="Q8" s="16" t="s">
        <v>59</v>
      </c>
      <c r="R8" s="16" t="s">
        <v>60</v>
      </c>
      <c r="S8" s="16" t="s">
        <v>61</v>
      </c>
      <c r="T8" s="4" t="s">
        <v>161</v>
      </c>
      <c r="U8" s="4" t="s">
        <v>45</v>
      </c>
      <c r="V8" s="4" t="s">
        <v>162</v>
      </c>
      <c r="W8" s="14" t="s">
        <v>174</v>
      </c>
      <c r="X8" s="4" t="s">
        <v>64</v>
      </c>
      <c r="Y8" s="16" t="s">
        <v>148</v>
      </c>
    </row>
  </sheetData>
  <mergeCells count="1">
    <mergeCell ref="A1:AA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Y18"/>
  <sheetViews>
    <sheetView tabSelected="1" topLeftCell="R1" workbookViewId="0">
      <selection activeCell="U16" sqref="U16:U17"/>
    </sheetView>
  </sheetViews>
  <sheetFormatPr defaultRowHeight="15" x14ac:dyDescent="0.25"/>
  <cols>
    <col min="1" max="1" width="22.140625" style="1" customWidth="1"/>
    <col min="2" max="2" width="22.140625" customWidth="1"/>
    <col min="3" max="4" width="22.140625" style="1" customWidth="1"/>
    <col min="5" max="8" width="22.140625" customWidth="1"/>
    <col min="9" max="9" width="24.42578125" customWidth="1"/>
    <col min="10" max="10" width="22.140625" customWidth="1"/>
    <col min="11" max="11" width="22.140625" style="17" customWidth="1"/>
    <col min="12" max="12" width="22.140625" customWidth="1"/>
    <col min="13" max="19" width="22.140625" style="17" customWidth="1"/>
    <col min="20" max="20" width="22.140625" customWidth="1"/>
    <col min="21" max="21" width="23.5703125" customWidth="1"/>
    <col min="22" max="22" width="22.140625" customWidth="1"/>
    <col min="23" max="23" width="22.140625" style="15" customWidth="1"/>
    <col min="24" max="24" width="22.140625" customWidth="1"/>
    <col min="25" max="25" width="22.140625" style="17" customWidth="1"/>
  </cols>
  <sheetData>
    <row r="1" spans="1:25" s="5" customFormat="1" ht="30" customHeight="1" x14ac:dyDescent="0.25">
      <c r="A1" s="6" t="s">
        <v>160</v>
      </c>
      <c r="B1" s="4" t="s">
        <v>46</v>
      </c>
      <c r="C1" s="6" t="s">
        <v>47</v>
      </c>
      <c r="D1" s="6" t="s">
        <v>165</v>
      </c>
      <c r="E1" s="4" t="s">
        <v>48</v>
      </c>
      <c r="F1" s="4" t="s">
        <v>49</v>
      </c>
      <c r="G1" s="4" t="s">
        <v>50</v>
      </c>
      <c r="H1" s="4" t="s">
        <v>51</v>
      </c>
      <c r="I1" s="4" t="s">
        <v>52</v>
      </c>
      <c r="J1" s="4" t="s">
        <v>53</v>
      </c>
      <c r="K1" s="16" t="s">
        <v>54</v>
      </c>
      <c r="L1" s="4" t="s">
        <v>55</v>
      </c>
      <c r="M1" s="16" t="s">
        <v>56</v>
      </c>
      <c r="N1" s="16" t="s">
        <v>57</v>
      </c>
      <c r="O1" s="16" t="s">
        <v>58</v>
      </c>
      <c r="P1" s="16" t="s">
        <v>180</v>
      </c>
      <c r="Q1" s="16" t="s">
        <v>59</v>
      </c>
      <c r="R1" s="16" t="s">
        <v>60</v>
      </c>
      <c r="S1" s="16" t="s">
        <v>61</v>
      </c>
      <c r="T1" s="4" t="s">
        <v>161</v>
      </c>
      <c r="U1" s="4" t="s">
        <v>45</v>
      </c>
      <c r="V1" s="4" t="s">
        <v>162</v>
      </c>
      <c r="W1" s="14" t="s">
        <v>174</v>
      </c>
      <c r="X1" s="4" t="s">
        <v>64</v>
      </c>
      <c r="Y1" s="16" t="s">
        <v>148</v>
      </c>
    </row>
    <row r="2" spans="1:25" x14ac:dyDescent="0.25">
      <c r="A2" s="1">
        <v>43863</v>
      </c>
      <c r="B2">
        <v>100</v>
      </c>
      <c r="C2" s="1">
        <v>43863</v>
      </c>
      <c r="D2" s="1">
        <v>43863</v>
      </c>
      <c r="E2">
        <v>22</v>
      </c>
      <c r="F2" t="s">
        <v>89</v>
      </c>
      <c r="G2" t="s">
        <v>30</v>
      </c>
      <c r="H2" t="s">
        <v>18</v>
      </c>
      <c r="I2" t="s">
        <v>158</v>
      </c>
      <c r="J2" t="s">
        <v>2</v>
      </c>
      <c r="L2">
        <v>10</v>
      </c>
      <c r="M2" s="17">
        <v>50</v>
      </c>
      <c r="N2" s="17">
        <v>10</v>
      </c>
      <c r="O2" s="17">
        <v>11</v>
      </c>
      <c r="P2" s="17">
        <v>50</v>
      </c>
      <c r="Q2" s="17">
        <v>120</v>
      </c>
      <c r="R2" s="17">
        <v>11</v>
      </c>
      <c r="S2" s="17">
        <v>223</v>
      </c>
      <c r="T2" t="s">
        <v>113</v>
      </c>
      <c r="U2" s="17" t="s">
        <v>182</v>
      </c>
      <c r="V2" t="s">
        <v>103</v>
      </c>
      <c r="W2" s="15" t="s">
        <v>146</v>
      </c>
      <c r="X2">
        <v>45</v>
      </c>
      <c r="Y2" s="17">
        <v>21</v>
      </c>
    </row>
    <row r="3" spans="1:25" x14ac:dyDescent="0.25">
      <c r="A3" s="1">
        <v>43863</v>
      </c>
      <c r="B3">
        <v>7</v>
      </c>
      <c r="C3" s="1">
        <v>43863</v>
      </c>
      <c r="D3" s="1">
        <v>43863</v>
      </c>
      <c r="E3">
        <v>23</v>
      </c>
      <c r="F3">
        <v>22</v>
      </c>
      <c r="G3" t="s">
        <v>30</v>
      </c>
      <c r="H3" t="s">
        <v>18</v>
      </c>
      <c r="I3" t="s">
        <v>84</v>
      </c>
      <c r="J3" t="s">
        <v>63</v>
      </c>
      <c r="L3">
        <v>1</v>
      </c>
      <c r="M3" s="17">
        <v>2</v>
      </c>
      <c r="N3" s="17">
        <v>4</v>
      </c>
      <c r="O3" s="17">
        <v>5</v>
      </c>
      <c r="P3" s="17">
        <v>8</v>
      </c>
      <c r="Q3" s="17">
        <v>9</v>
      </c>
      <c r="R3" s="17">
        <v>6</v>
      </c>
      <c r="S3" s="17">
        <v>35</v>
      </c>
      <c r="T3" t="s">
        <v>113</v>
      </c>
      <c r="U3" s="17" t="s">
        <v>183</v>
      </c>
      <c r="V3" t="s">
        <v>103</v>
      </c>
      <c r="W3" s="15" t="s">
        <v>146</v>
      </c>
      <c r="Y3" s="17">
        <v>3</v>
      </c>
    </row>
    <row r="4" spans="1:25" x14ac:dyDescent="0.25">
      <c r="A4" s="1">
        <v>43863</v>
      </c>
      <c r="C4" s="1">
        <v>43863</v>
      </c>
      <c r="D4" s="1">
        <v>43863</v>
      </c>
      <c r="E4">
        <v>24</v>
      </c>
      <c r="F4">
        <v>22</v>
      </c>
      <c r="G4" t="s">
        <v>30</v>
      </c>
      <c r="H4" t="s">
        <v>18</v>
      </c>
      <c r="I4" t="s">
        <v>84</v>
      </c>
      <c r="J4" t="s">
        <v>63</v>
      </c>
      <c r="T4" t="s">
        <v>110</v>
      </c>
      <c r="U4" s="17" t="s">
        <v>182</v>
      </c>
      <c r="V4" t="s">
        <v>103</v>
      </c>
      <c r="W4" s="15" t="s">
        <v>146</v>
      </c>
    </row>
    <row r="5" spans="1:25" x14ac:dyDescent="0.25">
      <c r="A5" s="1">
        <v>43863</v>
      </c>
      <c r="C5" s="1">
        <v>43863</v>
      </c>
      <c r="D5" s="1">
        <v>43863</v>
      </c>
      <c r="E5">
        <v>25</v>
      </c>
      <c r="F5" t="s">
        <v>88</v>
      </c>
      <c r="G5" t="s">
        <v>33</v>
      </c>
      <c r="H5" t="s">
        <v>18</v>
      </c>
      <c r="I5" t="s">
        <v>90</v>
      </c>
      <c r="J5" t="s">
        <v>2</v>
      </c>
      <c r="T5" t="s">
        <v>113</v>
      </c>
      <c r="U5" s="17" t="s">
        <v>182</v>
      </c>
      <c r="V5" t="s">
        <v>103</v>
      </c>
      <c r="W5" s="15" t="s">
        <v>146</v>
      </c>
    </row>
    <row r="6" spans="1:25" x14ac:dyDescent="0.25">
      <c r="A6" s="1">
        <v>43863</v>
      </c>
      <c r="C6" s="1">
        <v>43863</v>
      </c>
      <c r="D6" s="1">
        <v>43863</v>
      </c>
      <c r="E6">
        <v>26</v>
      </c>
      <c r="F6">
        <v>22</v>
      </c>
      <c r="G6" t="s">
        <v>30</v>
      </c>
      <c r="H6" t="s">
        <v>18</v>
      </c>
      <c r="I6" t="s">
        <v>84</v>
      </c>
      <c r="J6" t="s">
        <v>63</v>
      </c>
      <c r="T6" t="s">
        <v>113</v>
      </c>
      <c r="U6" s="17" t="s">
        <v>183</v>
      </c>
      <c r="W6" s="15" t="s">
        <v>146</v>
      </c>
    </row>
    <row r="7" spans="1:25" x14ac:dyDescent="0.25">
      <c r="A7" s="1">
        <v>43863</v>
      </c>
      <c r="C7" s="1">
        <v>43863</v>
      </c>
      <c r="D7" s="1">
        <v>43863</v>
      </c>
      <c r="E7">
        <v>27</v>
      </c>
      <c r="F7">
        <v>22</v>
      </c>
      <c r="G7" t="s">
        <v>30</v>
      </c>
      <c r="H7" t="s">
        <v>18</v>
      </c>
      <c r="I7" t="s">
        <v>62</v>
      </c>
      <c r="J7" t="s">
        <v>63</v>
      </c>
      <c r="T7" t="s">
        <v>110</v>
      </c>
      <c r="U7" s="17" t="s">
        <v>182</v>
      </c>
      <c r="W7" s="15" t="s">
        <v>146</v>
      </c>
    </row>
    <row r="8" spans="1:25" x14ac:dyDescent="0.25">
      <c r="A8" s="1">
        <v>43863</v>
      </c>
      <c r="C8" s="1">
        <v>43863</v>
      </c>
      <c r="D8" s="1">
        <v>43863</v>
      </c>
      <c r="E8" s="1">
        <v>44470</v>
      </c>
      <c r="H8" t="s">
        <v>91</v>
      </c>
      <c r="I8" t="s">
        <v>30</v>
      </c>
      <c r="J8" t="s">
        <v>18</v>
      </c>
      <c r="T8" t="s">
        <v>110</v>
      </c>
      <c r="U8" s="17" t="s">
        <v>183</v>
      </c>
      <c r="W8" s="15" t="s">
        <v>146</v>
      </c>
    </row>
    <row r="9" spans="1:25" x14ac:dyDescent="0.25">
      <c r="A9" s="1">
        <v>43863</v>
      </c>
      <c r="B9">
        <v>2</v>
      </c>
      <c r="C9" s="1">
        <v>43863</v>
      </c>
      <c r="D9" s="1">
        <v>43863</v>
      </c>
      <c r="E9">
        <v>5</v>
      </c>
      <c r="F9">
        <v>6</v>
      </c>
      <c r="G9">
        <v>7</v>
      </c>
      <c r="H9">
        <v>8</v>
      </c>
      <c r="I9">
        <v>9</v>
      </c>
      <c r="J9">
        <v>10</v>
      </c>
      <c r="K9" s="17">
        <v>11</v>
      </c>
      <c r="L9">
        <v>12</v>
      </c>
      <c r="M9" s="17">
        <v>13</v>
      </c>
      <c r="N9" s="17">
        <v>14</v>
      </c>
      <c r="O9" s="17">
        <v>15</v>
      </c>
      <c r="P9" s="17">
        <v>16</v>
      </c>
      <c r="Q9" s="17">
        <v>17</v>
      </c>
      <c r="R9" s="17">
        <v>18</v>
      </c>
      <c r="S9" s="17">
        <v>19</v>
      </c>
      <c r="T9">
        <v>20</v>
      </c>
      <c r="U9" s="17" t="s">
        <v>182</v>
      </c>
      <c r="V9">
        <v>22</v>
      </c>
      <c r="W9" s="15" t="s">
        <v>146</v>
      </c>
      <c r="X9">
        <v>24</v>
      </c>
      <c r="Y9" s="17">
        <v>25</v>
      </c>
    </row>
    <row r="10" spans="1:25" x14ac:dyDescent="0.25">
      <c r="A10" s="1">
        <v>43863</v>
      </c>
      <c r="C10" s="1">
        <v>43863</v>
      </c>
      <c r="D10" s="1">
        <v>43863</v>
      </c>
      <c r="E10">
        <v>123</v>
      </c>
      <c r="F10" t="s">
        <v>142</v>
      </c>
      <c r="G10" t="s">
        <v>30</v>
      </c>
      <c r="H10" t="s">
        <v>18</v>
      </c>
      <c r="I10" t="s">
        <v>143</v>
      </c>
      <c r="J10" t="s">
        <v>99</v>
      </c>
      <c r="T10" t="s">
        <v>112</v>
      </c>
      <c r="U10" s="17" t="s">
        <v>182</v>
      </c>
      <c r="V10" t="s">
        <v>103</v>
      </c>
      <c r="W10" s="15" t="s">
        <v>146</v>
      </c>
    </row>
    <row r="11" spans="1:25" x14ac:dyDescent="0.25">
      <c r="A11" s="1">
        <v>43863</v>
      </c>
      <c r="C11" s="1">
        <v>43863</v>
      </c>
      <c r="D11" s="1">
        <v>43863</v>
      </c>
      <c r="E11">
        <v>123</v>
      </c>
      <c r="F11" t="s">
        <v>144</v>
      </c>
      <c r="G11" t="s">
        <v>30</v>
      </c>
      <c r="H11" t="s">
        <v>18</v>
      </c>
      <c r="I11" t="s">
        <v>145</v>
      </c>
      <c r="J11" t="s">
        <v>99</v>
      </c>
      <c r="T11" t="s">
        <v>113</v>
      </c>
      <c r="U11" s="17" t="s">
        <v>183</v>
      </c>
      <c r="V11" t="s">
        <v>103</v>
      </c>
      <c r="W11" s="15" t="s">
        <v>146</v>
      </c>
    </row>
    <row r="12" spans="1:25" x14ac:dyDescent="0.25">
      <c r="A12" s="1">
        <v>43863</v>
      </c>
      <c r="C12" s="1">
        <v>43863</v>
      </c>
      <c r="D12" s="1">
        <v>43863</v>
      </c>
      <c r="E12">
        <v>123</v>
      </c>
      <c r="F12" t="s">
        <v>144</v>
      </c>
      <c r="G12" t="s">
        <v>30</v>
      </c>
      <c r="H12" t="s">
        <v>18</v>
      </c>
      <c r="I12" t="s">
        <v>143</v>
      </c>
      <c r="J12" t="s">
        <v>99</v>
      </c>
      <c r="T12" t="s">
        <v>113</v>
      </c>
      <c r="U12" s="17" t="s">
        <v>182</v>
      </c>
      <c r="V12" t="s">
        <v>103</v>
      </c>
      <c r="W12" s="15" t="s">
        <v>146</v>
      </c>
    </row>
    <row r="13" spans="1:25" x14ac:dyDescent="0.25">
      <c r="A13" s="1">
        <v>43863</v>
      </c>
      <c r="C13" s="1">
        <v>43863</v>
      </c>
      <c r="D13" s="1">
        <v>43863</v>
      </c>
      <c r="E13">
        <v>12</v>
      </c>
      <c r="F13" t="s">
        <v>142</v>
      </c>
      <c r="G13" t="s">
        <v>30</v>
      </c>
      <c r="H13" t="s">
        <v>18</v>
      </c>
      <c r="I13" t="s">
        <v>147</v>
      </c>
      <c r="J13" t="s">
        <v>91</v>
      </c>
      <c r="T13" t="s">
        <v>110</v>
      </c>
      <c r="U13" s="17" t="s">
        <v>182</v>
      </c>
      <c r="V13" t="s">
        <v>103</v>
      </c>
      <c r="W13" s="15" t="s">
        <v>146</v>
      </c>
    </row>
    <row r="14" spans="1:25" x14ac:dyDescent="0.25">
      <c r="A14" s="1">
        <v>43863</v>
      </c>
      <c r="C14" s="1">
        <v>43863</v>
      </c>
      <c r="D14" s="1">
        <v>43863</v>
      </c>
      <c r="E14">
        <v>1202</v>
      </c>
      <c r="F14" t="s">
        <v>153</v>
      </c>
      <c r="G14" t="s">
        <v>30</v>
      </c>
      <c r="H14" t="s">
        <v>18</v>
      </c>
      <c r="I14" t="s">
        <v>109</v>
      </c>
      <c r="J14" t="s">
        <v>91</v>
      </c>
      <c r="T14" t="s">
        <v>112</v>
      </c>
      <c r="U14" s="17" t="s">
        <v>182</v>
      </c>
      <c r="V14" t="s">
        <v>103</v>
      </c>
      <c r="W14" s="15" t="s">
        <v>154</v>
      </c>
      <c r="X14">
        <v>121</v>
      </c>
    </row>
    <row r="15" spans="1:25" x14ac:dyDescent="0.25">
      <c r="A15" s="1">
        <v>43863</v>
      </c>
      <c r="C15" s="1">
        <v>43863</v>
      </c>
      <c r="D15" s="1">
        <v>43863</v>
      </c>
      <c r="E15">
        <v>22</v>
      </c>
      <c r="F15" t="s">
        <v>89</v>
      </c>
      <c r="G15" t="s">
        <v>30</v>
      </c>
      <c r="H15" t="s">
        <v>18</v>
      </c>
      <c r="I15" t="s">
        <v>86</v>
      </c>
      <c r="J15" t="s">
        <v>2</v>
      </c>
      <c r="T15" t="s">
        <v>113</v>
      </c>
      <c r="U15" s="17" t="s">
        <v>182</v>
      </c>
      <c r="V15" t="s">
        <v>103</v>
      </c>
      <c r="W15" s="15" t="s">
        <v>146</v>
      </c>
      <c r="X15">
        <v>45</v>
      </c>
    </row>
    <row r="16" spans="1:25" x14ac:dyDescent="0.25">
      <c r="A16" s="1">
        <v>43863</v>
      </c>
      <c r="C16" s="1">
        <v>43863</v>
      </c>
      <c r="D16" s="1">
        <v>43863</v>
      </c>
      <c r="E16">
        <v>22</v>
      </c>
      <c r="F16" t="s">
        <v>89</v>
      </c>
      <c r="G16" t="s">
        <v>30</v>
      </c>
      <c r="H16" t="s">
        <v>18</v>
      </c>
      <c r="I16" t="s">
        <v>86</v>
      </c>
      <c r="J16" t="s">
        <v>2</v>
      </c>
      <c r="T16" t="s">
        <v>113</v>
      </c>
      <c r="U16" s="17" t="s">
        <v>182</v>
      </c>
      <c r="V16" t="s">
        <v>103</v>
      </c>
      <c r="W16" s="15" t="s">
        <v>146</v>
      </c>
      <c r="X16">
        <v>45</v>
      </c>
    </row>
    <row r="17" spans="1:24" x14ac:dyDescent="0.25">
      <c r="A17" s="1">
        <v>44197</v>
      </c>
      <c r="C17" s="1">
        <v>44197</v>
      </c>
      <c r="D17" s="1">
        <v>44197</v>
      </c>
      <c r="E17">
        <v>1021</v>
      </c>
      <c r="F17" t="s">
        <v>155</v>
      </c>
      <c r="G17" t="s">
        <v>33</v>
      </c>
      <c r="H17" t="s">
        <v>18</v>
      </c>
      <c r="I17" t="s">
        <v>109</v>
      </c>
      <c r="J17" t="s">
        <v>117</v>
      </c>
      <c r="T17" t="s">
        <v>112</v>
      </c>
      <c r="U17" s="17" t="s">
        <v>182</v>
      </c>
      <c r="V17" t="s">
        <v>103</v>
      </c>
      <c r="W17" s="15" t="s">
        <v>146</v>
      </c>
      <c r="X17">
        <v>120121</v>
      </c>
    </row>
    <row r="18" spans="1:24" x14ac:dyDescent="0.25">
      <c r="A18" s="1">
        <v>44197</v>
      </c>
      <c r="C18" s="1">
        <v>44197</v>
      </c>
      <c r="D18" s="1">
        <v>44197</v>
      </c>
      <c r="F18" t="s">
        <v>124</v>
      </c>
      <c r="G18" t="s">
        <v>30</v>
      </c>
      <c r="H18" t="s">
        <v>18</v>
      </c>
      <c r="I18" t="s">
        <v>159</v>
      </c>
      <c r="J18" t="s">
        <v>91</v>
      </c>
      <c r="T18" t="s">
        <v>115</v>
      </c>
      <c r="U18" s="17" t="s">
        <v>182</v>
      </c>
      <c r="V18" t="s">
        <v>103</v>
      </c>
      <c r="W18" s="15" t="s">
        <v>92</v>
      </c>
      <c r="X18">
        <v>10021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5"/>
  <sheetViews>
    <sheetView workbookViewId="0">
      <selection activeCell="B5" sqref="B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166</v>
      </c>
      <c r="B1" s="7" t="s">
        <v>167</v>
      </c>
      <c r="C1" s="7" t="s">
        <v>168</v>
      </c>
      <c r="D1" s="7" t="s">
        <v>169</v>
      </c>
      <c r="E1" s="7" t="s">
        <v>96</v>
      </c>
    </row>
    <row r="2" spans="1:5" x14ac:dyDescent="0.25">
      <c r="A2" t="s">
        <v>91</v>
      </c>
      <c r="B2" t="s">
        <v>2</v>
      </c>
      <c r="C2" t="s">
        <v>2</v>
      </c>
    </row>
    <row r="3" spans="1:5" x14ac:dyDescent="0.25">
      <c r="A3" t="s">
        <v>99</v>
      </c>
      <c r="B3" t="s">
        <v>100</v>
      </c>
      <c r="C3" t="s">
        <v>101</v>
      </c>
      <c r="D3">
        <v>1000125</v>
      </c>
      <c r="E3">
        <v>3627117980</v>
      </c>
    </row>
    <row r="4" spans="1:5" x14ac:dyDescent="0.25">
      <c r="A4" t="s">
        <v>116</v>
      </c>
      <c r="B4" t="s">
        <v>100</v>
      </c>
      <c r="C4" t="s">
        <v>101</v>
      </c>
      <c r="D4">
        <v>1000125</v>
      </c>
      <c r="E4">
        <v>3627117980</v>
      </c>
    </row>
    <row r="5" spans="1:5" x14ac:dyDescent="0.25">
      <c r="A5" t="s">
        <v>117</v>
      </c>
      <c r="B5" t="s">
        <v>100</v>
      </c>
      <c r="C5" t="s">
        <v>101</v>
      </c>
      <c r="D5">
        <v>1000125</v>
      </c>
      <c r="E5">
        <v>3627117980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6"/>
  <sheetViews>
    <sheetView workbookViewId="0">
      <selection activeCell="B5" sqref="B5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166</v>
      </c>
      <c r="C1" s="7" t="s">
        <v>170</v>
      </c>
      <c r="D1" s="7" t="s">
        <v>148</v>
      </c>
      <c r="E1" s="7" t="s">
        <v>171</v>
      </c>
      <c r="F1" s="7" t="s">
        <v>172</v>
      </c>
    </row>
    <row r="2" spans="1:6" x14ac:dyDescent="0.25">
      <c r="A2" t="s">
        <v>97</v>
      </c>
      <c r="B2" t="s">
        <v>113</v>
      </c>
      <c r="C2" t="s">
        <v>152</v>
      </c>
      <c r="D2" t="s">
        <v>151</v>
      </c>
      <c r="E2">
        <v>60</v>
      </c>
      <c r="F2">
        <v>150</v>
      </c>
    </row>
    <row r="3" spans="1:6" x14ac:dyDescent="0.25">
      <c r="A3" t="s">
        <v>135</v>
      </c>
      <c r="B3" t="s">
        <v>112</v>
      </c>
      <c r="C3" t="s">
        <v>138</v>
      </c>
      <c r="D3" t="s">
        <v>139</v>
      </c>
      <c r="E3" t="s">
        <v>140</v>
      </c>
      <c r="F3">
        <v>150</v>
      </c>
    </row>
    <row r="4" spans="1:6" x14ac:dyDescent="0.25">
      <c r="A4" t="s">
        <v>136</v>
      </c>
      <c r="B4" t="s">
        <v>110</v>
      </c>
    </row>
    <row r="5" spans="1:6" x14ac:dyDescent="0.25">
      <c r="A5" t="s">
        <v>137</v>
      </c>
      <c r="B5" t="s">
        <v>115</v>
      </c>
      <c r="C5" t="s">
        <v>98</v>
      </c>
    </row>
    <row r="6" spans="1:6" x14ac:dyDescent="0.25">
      <c r="A6" t="s">
        <v>97</v>
      </c>
      <c r="B6" t="s">
        <v>111</v>
      </c>
      <c r="C6" t="s">
        <v>150</v>
      </c>
      <c r="D6">
        <v>50</v>
      </c>
      <c r="E6">
        <v>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156</v>
      </c>
    </row>
    <row r="2" spans="1:1" x14ac:dyDescent="0.25">
      <c r="A2" t="s">
        <v>157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118</v>
      </c>
    </row>
    <row r="2" spans="1:1" x14ac:dyDescent="0.25">
      <c r="A2" t="s">
        <v>149</v>
      </c>
    </row>
    <row r="3" spans="1:1" x14ac:dyDescent="0.25">
      <c r="A3" t="s">
        <v>119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130</v>
      </c>
    </row>
    <row r="7" spans="1:1" x14ac:dyDescent="0.25">
      <c r="A7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18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15</vt:i4>
      </vt:variant>
    </vt:vector>
  </HeadingPairs>
  <TitlesOfParts>
    <vt:vector size="28" baseType="lpstr">
      <vt:lpstr>Inicial</vt:lpstr>
      <vt:lpstr>CadPericia</vt:lpstr>
      <vt:lpstr>RelPericiaPerito</vt:lpstr>
      <vt:lpstr>RelPenhorPerito</vt:lpstr>
      <vt:lpstr>CadPenhor</vt:lpstr>
      <vt:lpstr>CadPerito</vt:lpstr>
      <vt:lpstr>CadSeguradora</vt:lpstr>
      <vt:lpstr>Cidades</vt:lpstr>
      <vt:lpstr>Cultura</vt:lpstr>
      <vt:lpstr>Sinistro</vt:lpstr>
      <vt:lpstr>TipoBenSeg</vt:lpstr>
      <vt:lpstr>TipoVistoria</vt:lpstr>
      <vt:lpstr>Estados</vt:lpstr>
      <vt:lpstr>RelPenhorPerito!Area_de_extracao</vt:lpstr>
      <vt:lpstr>RelPericiaPerito!Area_de_extracao</vt:lpstr>
      <vt:lpstr>RelPericiaPerito!Area_de_impressao</vt:lpstr>
      <vt:lpstr>cidades</vt:lpstr>
      <vt:lpstr>RelPenhorPerito!Criterios</vt:lpstr>
      <vt:lpstr>RelPericiaPerito!Criterios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2021-02-05T19:17:23Z</cp:lastPrinted>
  <dcterms:created xsi:type="dcterms:W3CDTF">2021-01-16T20:15:46Z</dcterms:created>
  <dcterms:modified xsi:type="dcterms:W3CDTF">2021-02-06T03:02:11Z</dcterms:modified>
</cp:coreProperties>
</file>