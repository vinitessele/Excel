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8_{887E54C1-967E-43FA-8CC2-7F170B4E9784}" xr6:coauthVersionLast="46" xr6:coauthVersionMax="46" xr10:uidLastSave="{00000000-0000-0000-0000-000000000000}"/>
  <bookViews>
    <workbookView xWindow="-120" yWindow="-120" windowWidth="20730" windowHeight="11160" xr2:uid="{E0D4B125-8ABE-41E3-AD67-A9BA722874B8}"/>
  </bookViews>
  <sheets>
    <sheet name="Inicial" sheetId="2" r:id="rId1"/>
    <sheet name="ContasAreceber" sheetId="17" r:id="rId2"/>
    <sheet name="DashboardAReceber" sheetId="22" r:id="rId3"/>
    <sheet name="TbDinamicaReceber" sheetId="23" r:id="rId4"/>
    <sheet name="ContasApagar" sheetId="16" r:id="rId5"/>
    <sheet name="DashboardApagar" sheetId="21" r:id="rId6"/>
    <sheet name="RelContasApagar" sheetId="18" r:id="rId7"/>
    <sheet name="RelContasAReceber" sheetId="20" r:id="rId8"/>
    <sheet name="CadPenhor" sheetId="5" r:id="rId9"/>
    <sheet name="CadPericia" sheetId="6" r:id="rId10"/>
    <sheet name="RelPericiaPerito" sheetId="13" r:id="rId11"/>
    <sheet name="RelPenhoPerito" sheetId="15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8" hidden="1">CadPenhor!$A$1:$Z$23</definedName>
    <definedName name="_xlnm._FilterDatabase" localSheetId="9" hidden="1">CadPericia!$A$1:$AD$13</definedName>
    <definedName name="_xlnm._FilterDatabase" localSheetId="4" hidden="1">ContasApagar!$A$1:$R$14</definedName>
    <definedName name="_xlnm._FilterDatabase" localSheetId="1" hidden="1">ContasAreceber!$A$1:$R$10</definedName>
    <definedName name="_xlnm._FilterDatabase" localSheetId="6" hidden="1">RelContasApagar!$A$7:$R$7</definedName>
    <definedName name="_xlnm.Extract" localSheetId="6">RelContasApagar!$A$7:$R$7</definedName>
    <definedName name="_xlnm.Extract" localSheetId="7">RelContasAReceber!$A$7:$R$7</definedName>
    <definedName name="_xlnm.Extract" localSheetId="11">RelPenhoPerito!$A$6:$Z$6</definedName>
    <definedName name="_xlnm.Extract" localSheetId="10">RelPericiaPerito!$A$6:$AD$6</definedName>
    <definedName name="cidades">Cidades!$A:$A</definedName>
    <definedName name="_xlnm.Criteria" localSheetId="6">RelContasApagar!$F$2:$K$3</definedName>
    <definedName name="_xlnm.Criteria" localSheetId="7">RelContasAReceber!$F$2:$K$3</definedName>
    <definedName name="_xlnm.Criteria" localSheetId="11">RelPenhoPerito!$AB$2:$AF$3</definedName>
    <definedName name="_xlnm.Criteria" localSheetId="10">RelPericiaPerito!$J$2:$N$3</definedName>
    <definedName name="Cultura">Cultura!$A:$A</definedName>
    <definedName name="NativeTimeline_DT_VISTORIA">#N/A</definedName>
    <definedName name="Perito">CadPerito!$A:$A</definedName>
    <definedName name="SegmentaçãodeDados_PERITO">#N/A</definedName>
    <definedName name="SegmentaçãodeDados_SEGURADORA">#N/A</definedName>
    <definedName name="SegmentaçãodeDados_STATUS">#N/A</definedName>
    <definedName name="SegmentaçãodeDados_TIPO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1" r:id="rId21"/>
  </pivotCaches>
  <fileRecoveryPr repairLoad="1"/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3" l="1"/>
  <c r="S5" i="23"/>
  <c r="S6" i="23"/>
  <c r="S7" i="23"/>
  <c r="S8" i="23"/>
  <c r="S9" i="23"/>
  <c r="V4" i="23"/>
  <c r="V3" i="23"/>
  <c r="S3" i="23"/>
  <c r="K3" i="20"/>
  <c r="J3" i="20"/>
  <c r="I3" i="20"/>
  <c r="H3" i="20"/>
  <c r="G3" i="20"/>
  <c r="F3" i="20"/>
  <c r="I3" i="18"/>
  <c r="H3" i="18"/>
  <c r="G3" i="18"/>
  <c r="K3" i="18"/>
  <c r="J3" i="18"/>
  <c r="F3" i="18"/>
  <c r="N3" i="13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<sst xmlns="http://schemas.openxmlformats.org/spreadsheetml/2006/main" count="968" uniqueCount="241">
  <si>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</si>
  <si>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</si>
  <si>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</si>
  <si>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</si>
  <si>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</si>
  <si>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</si>
  <si>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</si>
  <si>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</si>
  <si>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</si>
  <si>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</si>
  <si>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</si>
  <si>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</si>
  <si>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</si>
  <si>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</si>
  <si>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</si>
  <si>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</si>
  <si>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</si>
  <si>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</si>
  <si>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</si>
  <si>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</si>
  <si>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</si>
  <si>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</si>
  <si>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</si>
  <si>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</si>
  <si>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</si>
  <si>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</si>
  <si>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</si>
  <si>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</si>
  <si>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</si>
  <si>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</si>
  <si>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</si>
  <si>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</si>
  <si>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</si>
  <si>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</si>
  <si>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</si>
  <si>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</si>
  <si>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</si>
  <si>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</si>
  <si>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</si>
  <si>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</si>
  <si>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</si>
  <si>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</si>
  <si>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</si>
  <si>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</si>
  <si>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</si>
  <si>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</si>
  <si>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</si>
  <si>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</si>
  <si>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</si>
  <si>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</si>
  <si>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</si>
  <si>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</si>
  <si>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</si>
  <si>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</si>
  <si>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</si>
  <si>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</si>
  <si>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</si>
  <si>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</si>
  <si>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</si>
  <si>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</si>
  <si>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</si>
  <si>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</si>
  <si>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</si>
  <si>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</si>
  <si>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</si>
  <si>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</si>
  <si>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</si>
  <si>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</si>
  <si>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</si>
  <si>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</si>
  <si>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</si>
  <si>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</si>
  <si>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</si>
  <si>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</si>
  <si>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</si>
  <si>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</si>
  <si>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</si>
  <si>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</si>
  <si>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</si>
  <si>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</si>
  <si>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</si>
  <si>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</si>
  <si>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</si>
  <si>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</si>
  <si>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</si>
  <si>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</si>
  <si>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</si>
  <si>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</si>
  <si>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</si>
  <si>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</si>
  <si>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</si>
  <si>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</si>
  <si>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</si>
  <si>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</si>
  <si>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</si>
  <si>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</si>
  <si>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</si>
  <si>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</si>
  <si>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</si>
  <si>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</si>
  <si>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</si>
  <si>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</si>
  <si>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</si>
  <si>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</si>
  <si>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</si>
  <si>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</si>
  <si>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</si>
  <si>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</si>
  <si>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</si>
  <si>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</si>
  <si>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</si>
  <si>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</si>
  <si>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</si>
  <si>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</si>
  <si>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</si>
  <si>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</si>
  <si>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</si>
  <si>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</si>
  <si>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</si>
  <si>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</si>
  <si>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</si>
  <si>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</si>
  <si>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</si>
  <si>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</si>
  <si>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</si>
  <si>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</si>
  <si>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</si>
  <si>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</si>
  <si>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</si>
  <si>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</si>
  <si>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</si>
  <si>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</si>
  <si>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</si>
  <si>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</si>
  <si>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</si>
  <si>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</si>
  <si>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</si>
  <si>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</si>
  <si>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</si>
  <si>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</si>
  <si>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</si>
  <si>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</si>
  <si>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</si>
  <si>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</si>
  <si>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</si>
  <si>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</si>
  <si>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</si>
  <si>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</si>
  <si>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</si>
  <si>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</si>
  <si>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</si>
  <si>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</si>
  <si>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</si>
  <si>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</si>
  <si>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</si>
  <si>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</si>
  <si>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</si>
  <si>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</si>
  <si>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</si>
  <si>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</si>
  <si>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</si>
  <si>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</si>
  <si>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</si>
  <si>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</si>
  <si>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</si>
  <si>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</si>
  <si>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</si>
  <si>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</si>
  <si>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</si>
  <si>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</si>
  <si>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</si>
  <si>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</si>
  <si>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</si>
  <si>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</si>
  <si>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</si>
  <si>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</si>
  <si>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</si>
  <si>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</si>
  <si>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</si>
  <si>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</si>
  <si>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</si>
  <si>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</si>
  <si>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</si>
  <si>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</si>
  <si>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</si>
  <si>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</si>
  <si>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</si>
  <si>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</si>
  <si>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</si>
  <si>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</si>
  <si>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</si>
  <si>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</si>
  <si>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</si>
  <si>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</si>
  <si>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</si>
  <si>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</si>
  <si>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</si>
  <si>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</si>
  <si>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</si>
  <si>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</si>
  <si>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</si>
  <si>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</si>
  <si>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</si>
  <si>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135,00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</si>
  <si>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</si>
  <si>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</si>
  <si>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</si>
  <si>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</si>
  <si>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</si>
  <si>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</si>
  <si>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</si>
  <si>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</si>
  <si>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</si>
  <si>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</si>
  <si>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650,00</t>
  </si>
  <si>
    <t>18,00</t>
  </si>
  <si>
    <t>19,00</t>
  </si>
  <si>
    <t>20,00</t>
  </si>
  <si>
    <t>719,00</t>
  </si>
  <si>
    <t>12,00</t>
  </si>
  <si>
    <t>462,10</t>
  </si>
  <si>
    <t>2,00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</si>
  <si>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</si>
  <si>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</si>
  <si>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</si>
  <si>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</si>
  <si>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</si>
  <si>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</si>
  <si>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</si>
  <si>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</si>
  <si>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</si>
  <si>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</si>
  <si>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</si>
  <si>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</si>
  <si>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Porto Seguro</t>
  </si>
  <si>
    <t>Valores Seguradora</t>
  </si>
  <si>
    <t>Sicoob Seguradora</t>
  </si>
  <si>
    <t>Rua tal</t>
  </si>
  <si>
    <t>Sicred seguros</t>
  </si>
  <si>
    <t>rua</t>
  </si>
  <si>
    <t>Valores Penho e pericia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</si>
</sst>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0" borderId="0" xfId="0" applyBorder="1" applyAlignment="1">
      <alignment horizontal="left"/>
    </xf>
    <xf numFmtId="0" fontId="0" fillId="4" borderId="7" xfId="0" applyFont="1" applyFill="1" applyBorder="1"/>
    <xf numFmtId="0" fontId="0" fillId="0" borderId="7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34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Valores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223</c:v>
                </c:pt>
                <c:pt idx="2">
                  <c:v>446</c:v>
                </c:pt>
                <c:pt idx="3">
                  <c:v>0</c:v>
                </c:pt>
                <c:pt idx="4">
                  <c:v>478.1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Valores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701.1</c:v>
                </c:pt>
                <c:pt idx="1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ChamarRelPericias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elContasApagar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ContarReceber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</xdr:row>
      <xdr:rowOff>76200</xdr:rowOff>
    </xdr:from>
    <xdr:to>
      <xdr:col>18</xdr:col>
      <xdr:colOff>571500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361950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506200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7.487015393519" createdVersion="6" refreshedVersion="6" minRefreshableVersion="3" recordCount="9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Cleiton"/>
        <s v="Marcilio"/>
        <n v="1" u="1"/>
      </sharedItems>
    </cacheField>
    <cacheField name="SINISTRO" numFmtId="0">
      <sharedItems containsSemiMixedTypes="0" containsString="0" containsNumber="1" containsInteger="1" minValue="2" maxValue="987" count="4">
        <n v="45"/>
        <n v="987"/>
        <n v="785"/>
        <n v="2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SemiMixedTypes="0" containsNonDate="0" containsDate="1" containsString="0" containsMixedTypes="1" minDate="2020-01-01T00:00:00" maxDate="1899-12-31T00:17:04" count="4">
        <d v="2020-01-01T00:00:00"/>
        <d v="2021-07-02T00:00:00"/>
        <d v="2021-02-07T00:00:00"/>
        <n v="4" u="1"/>
      </sharedItems>
    </cacheField>
    <cacheField name=" HONORÁRIO R$ " numFmtId="0">
      <sharedItems containsMixedTypes="1" containsNumber="1" containsInteger="1" minValue="2" maxValue="10" count="8">
        <s v="602,10"/>
        <s v="1710,1"/>
        <s v="10,00"/>
        <s v="12,00"/>
        <s v="2,00"/>
        <n v="2"/>
        <n v="10"/>
        <n v="5" u="1"/>
      </sharedItems>
    </cacheField>
    <cacheField name="VALOR KM R$" numFmtId="0">
      <sharedItems containsMixedTypes="1" containsNumber="1" containsInteger="1" minValue="1" maxValue="50" count="7">
        <n v="11"/>
        <s v="2,1"/>
        <s v="650,00"/>
        <s v="50,00"/>
        <n v="50"/>
        <n v="1"/>
        <n v="6" u="1"/>
      </sharedItems>
    </cacheField>
    <cacheField name="HOTEL" numFmtId="0">
      <sharedItems containsBlank="1" containsMixedTypes="1" containsNumber="1" containsInteger="1" minValue="1" maxValue="32" count="7">
        <n v="11"/>
        <s v="50,00"/>
        <m/>
        <s v="32,00"/>
        <n v="32"/>
        <n v="1"/>
        <n v="7" u="1"/>
      </sharedItems>
    </cacheField>
    <cacheField name="REFEIÇÃO" numFmtId="0">
      <sharedItems containsBlank="1" containsMixedTypes="1" containsNumber="1" containsInteger="1" minValue="1" maxValue="223" count="7">
        <n v="223"/>
        <s v="30,00"/>
        <m/>
        <s v="14,00"/>
        <n v="14"/>
        <n v="1"/>
        <n v="8" u="1"/>
      </sharedItems>
    </cacheField>
    <cacheField name=" PEDÁGIO " numFmtId="0">
      <sharedItems containsMixedTypes="1" containsNumber="1" containsInteger="1" minValue="1" maxValue="223" count="6">
        <n v="223"/>
        <s v="15,00"/>
        <s v="30,00"/>
        <n v="30"/>
        <n v="1"/>
        <n v="9" u="1"/>
      </sharedItems>
    </cacheField>
    <cacheField name="PASSAGEM ÁERA" numFmtId="0">
      <sharedItems containsMixedTypes="1" containsNumber="1" containsInteger="1" minValue="1" maxValue="11" count="6">
        <n v="11"/>
        <s v="32,00"/>
        <s v="18,00"/>
        <s v="1,00"/>
        <n v="1"/>
        <n v="10" u="1"/>
      </sharedItems>
    </cacheField>
    <cacheField name="ALUGUEL CARRO" numFmtId="0">
      <sharedItems containsMixedTypes="1" containsNumber="1" minValue="1" maxValue="352.1"/>
    </cacheField>
    <cacheField name="OUTROS " numFmtId="0">
      <sharedItems containsMixedTypes="1" containsNumber="1" containsInteger="1" minValue="1" maxValue="12" count="5">
        <n v="11"/>
        <s v="1,00"/>
        <s v="20,00"/>
        <n v="1"/>
        <n v="12" u="1"/>
      </sharedItems>
    </cacheField>
    <cacheField name=" TOTAL " numFmtId="0">
      <sharedItems containsMixedTypes="1" containsNumber="1" minValue="13" maxValue="462.1" count="7">
        <n v="223"/>
        <s v="352,10"/>
        <s v="719,00"/>
        <s v="462,10"/>
        <n v="462.1"/>
        <n v="16"/>
        <n v="13" u="1"/>
      </sharedItems>
    </cacheField>
    <cacheField name="DT LANCAMENTO" numFmtId="14">
      <sharedItems containsSemiMixedTypes="0" containsNonDate="0" containsDate="1" containsString="0" minDate="2021-02-07T00:00:00" maxDate="2021-02-08T00:00:00"/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3">
        <s v="Liquidado"/>
        <s v="Aberto"/>
        <n v="16" u="1"/>
      </sharedItems>
    </cacheField>
    <cacheField name="DT RECEBIMENTO" numFmtId="14">
      <sharedItems containsSemiMixedTypes="0" containsNonDate="0" containsDate="1" containsString="0" containsMixedTypes="1" minDate="2021-02-07T00:00:00" maxDate="1899-12-31T00:50:04" count="3">
        <d v="2021-02-07T00:00:00"/>
        <d v="2021-02-20T00:00:00"/>
        <n v="17" u="1"/>
      </sharedItems>
    </cacheField>
    <cacheField name="SEGURADORA" numFmtId="0">
      <sharedItems containsMixedTypes="1" containsNumber="1" containsInteger="1" minValue="18" maxValue="18" count="6">
        <s v="Banco do Brasil"/>
        <s v="Bradesco"/>
        <s v="Itau"/>
        <s v="Porto Seguro"/>
        <s v="Liberty"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0"/>
    <x v="0"/>
    <x v="0"/>
    <x v="0"/>
    <x v="1"/>
    <x v="0"/>
    <x v="0"/>
    <x v="0"/>
    <x v="0"/>
    <x v="0"/>
    <n v="223"/>
    <x v="0"/>
    <x v="0"/>
    <d v="2021-02-07T00:00:00"/>
    <x v="1"/>
    <x v="0"/>
    <x v="0"/>
    <x v="1"/>
  </r>
  <r>
    <x v="1"/>
    <x v="0"/>
    <x v="0"/>
    <x v="0"/>
    <x v="1"/>
    <x v="0"/>
    <x v="0"/>
    <x v="0"/>
    <x v="0"/>
    <x v="0"/>
    <n v="223"/>
    <x v="0"/>
    <x v="0"/>
    <d v="2021-02-07T00:00:00"/>
    <x v="1"/>
    <x v="0"/>
    <x v="1"/>
    <x v="0"/>
  </r>
  <r>
    <x v="0"/>
    <x v="0"/>
    <x v="0"/>
    <x v="0"/>
    <x v="2"/>
    <x v="1"/>
    <x v="1"/>
    <x v="1"/>
    <x v="1"/>
    <x v="1"/>
    <s v="14,00"/>
    <x v="1"/>
    <x v="1"/>
    <d v="2021-02-07T00:00:00"/>
    <x v="1"/>
    <x v="1"/>
    <x v="0"/>
    <x v="1"/>
  </r>
  <r>
    <x v="1"/>
    <x v="1"/>
    <x v="0"/>
    <x v="1"/>
    <x v="3"/>
    <x v="2"/>
    <x v="2"/>
    <x v="2"/>
    <x v="1"/>
    <x v="2"/>
    <s v="19,00"/>
    <x v="2"/>
    <x v="2"/>
    <d v="2021-02-07T00:00:00"/>
    <x v="0"/>
    <x v="1"/>
    <x v="0"/>
    <x v="2"/>
  </r>
  <r>
    <x v="2"/>
    <x v="0"/>
    <x v="0"/>
    <x v="0"/>
    <x v="4"/>
    <x v="3"/>
    <x v="3"/>
    <x v="3"/>
    <x v="2"/>
    <x v="3"/>
    <s v="352,10"/>
    <x v="0"/>
    <x v="3"/>
    <d v="2021-02-07T00:00:00"/>
    <x v="0"/>
    <x v="0"/>
    <x v="0"/>
    <x v="3"/>
  </r>
  <r>
    <x v="1"/>
    <x v="0"/>
    <x v="0"/>
    <x v="0"/>
    <x v="5"/>
    <x v="4"/>
    <x v="4"/>
    <x v="4"/>
    <x v="3"/>
    <x v="4"/>
    <n v="352.1"/>
    <x v="0"/>
    <x v="4"/>
    <d v="2021-02-07T00:00:00"/>
    <x v="0"/>
    <x v="1"/>
    <x v="0"/>
    <x v="4"/>
  </r>
  <r>
    <x v="1"/>
    <x v="2"/>
    <x v="0"/>
    <x v="2"/>
    <x v="6"/>
    <x v="5"/>
    <x v="5"/>
    <x v="5"/>
    <x v="4"/>
    <x v="4"/>
    <n v="1"/>
    <x v="3"/>
    <x v="5"/>
    <d v="2021-02-07T00:00:00"/>
    <x v="0"/>
    <x v="1"/>
    <x v="0"/>
    <x v="4"/>
  </r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10" firstHeaderRow="1" firstDataRow="1" firstDataCol="16"/>
  <pivotFields count="18">
    <pivotField axis="axisRow" compact="0" outline="0" showAll="0" defaultSubtotal="0">
      <items count="4">
        <item x="1"/>
        <item x="0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6"/>
        <item x="2"/>
        <item x="3"/>
        <item x="1"/>
        <item x="4"/>
        <item x="0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0"/>
        <item x="3"/>
        <item x="1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3"/>
        <item x="0"/>
        <item x="1"/>
        <item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0"/>
        <item x="3"/>
        <item x="2"/>
        <item x="1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0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4"/>
        <item x="1"/>
        <item x="3"/>
        <item x="2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8">
    <i>
      <x/>
      <x/>
      <x/>
      <x/>
      <x/>
      <x v="2"/>
      <x v="2"/>
      <x v="1"/>
      <x v="1"/>
      <x/>
      <x v="1"/>
      <x v="2"/>
      <x/>
      <x/>
      <x/>
      <x v="4"/>
    </i>
    <i r="4">
      <x v="4"/>
      <x v="1"/>
      <x v="1"/>
      <x v="2"/>
      <x v="2"/>
      <x v="1"/>
      <x v="1"/>
      <x v="1"/>
      <x v="1"/>
      <x v="1"/>
      <x v="1"/>
      <x/>
    </i>
    <i r="1">
      <x v="1"/>
      <x/>
      <x v="2"/>
      <x v="1"/>
      <x/>
      <x/>
      <x/>
      <x/>
      <x/>
      <x/>
      <x/>
      <x/>
      <x/>
      <x/>
      <x v="4"/>
    </i>
    <i r="1">
      <x v="2"/>
      <x/>
      <x v="1"/>
      <x v="3"/>
      <x v="5"/>
      <x v="5"/>
      <x v="5"/>
      <x v="3"/>
      <x v="3"/>
      <x v="3"/>
      <x v="5"/>
      <x/>
      <x/>
      <x/>
      <x v="2"/>
    </i>
    <i>
      <x v="1"/>
      <x/>
      <x/>
      <x/>
      <x v="2"/>
      <x v="3"/>
      <x v="4"/>
      <x v="4"/>
      <x v="3"/>
      <x v="4"/>
      <x v="2"/>
      <x v="3"/>
      <x v="1"/>
      <x/>
      <x/>
      <x v="1"/>
    </i>
    <i r="4">
      <x v="4"/>
      <x v="1"/>
      <x v="1"/>
      <x v="2"/>
      <x v="2"/>
      <x v="1"/>
      <x v="1"/>
      <x v="1"/>
      <x v="1"/>
      <x v="1"/>
      <x/>
      <x v="1"/>
    </i>
    <i r="4">
      <x v="6"/>
      <x v="1"/>
      <x v="1"/>
      <x v="2"/>
      <x v="2"/>
      <x v="1"/>
      <x v="1"/>
      <x v="1"/>
      <x/>
      <x v="1"/>
      <x/>
      <x/>
    </i>
    <i>
      <x v="2"/>
      <x/>
      <x/>
      <x/>
      <x v="5"/>
      <x v="4"/>
      <x v="3"/>
      <x v="3"/>
      <x v="4"/>
      <x v="2"/>
      <x v="1"/>
      <x v="4"/>
      <x/>
      <x v="1"/>
      <x/>
      <x v="3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3">
        <i x="1" s="1"/>
        <i x="0" s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6">
        <i x="0" s="1"/>
        <i x="1" s="1"/>
        <i x="2" s="1"/>
        <i x="4" s="1"/>
        <i x="3" s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10" totalsRowShown="0" headerRowDxfId="33" headerRowBorderDxfId="32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31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30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29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14" totalsRowShown="0" headerRowDxfId="28" headerRowBorderDxfId="27" tableBorderDxfId="26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HONORÁRIO R$ " dataCellStyle="Moeda"/>
    <tableColumn id="2" xr3:uid="{6F9E0BA6-9BFB-48EC-81A9-18A0C396E8C9}" name="VALOR KM R$" dataCellStyle="Moeda"/>
    <tableColumn id="3" xr3:uid="{EFD808ED-DC52-4A8B-8292-EEE34A3916AF}" name="HOTEL" dataCellStyle="Moeda"/>
    <tableColumn id="4" xr3:uid="{BFA1101A-73FE-46DC-B3F1-F20D674333D9}" name="REFEIÇÃO" dataCellStyle="Moeda"/>
    <tableColumn id="5" xr3:uid="{2AB446A3-0EB9-4068-9FF5-68786833A420}" name="PEDÁGIO " dataCellStyle="Moeda"/>
    <tableColumn id="6" xr3:uid="{7C7FA53D-199C-4600-B839-1C253EB0843B}" name="PASSAGEM ÁERA" dataCellStyle="Moeda"/>
    <tableColumn id="7" xr3:uid="{5487AAEC-0686-4909-95E7-E3F065BAE407}" name="ALUGUEL CARRO " dataCellStyle="Moeda"/>
    <tableColumn id="8" xr3:uid="{6E97A9B3-7F8F-4AD1-A51A-8D0518668E1F}" name="OUTROS " dataCellStyle="Moeda"/>
    <tableColumn id="9" xr3:uid="{345BE897-50CE-4CAF-9542-ACF3BDCA9A38}" name=" TOTAL " dataCellStyle="Moeda"/>
    <tableColumn id="10" xr3:uid="{C5ADE4FF-938E-41F2-9268-65D68FC97B10}" name="DT LANCAMENTO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25" headerRowBorderDxfId="24">
  <tableColumns count="26">
    <tableColumn id="1" xr3:uid="{4CEAFE11-4BD7-40FD-A919-BB52A3784B3A}" name="DT RECEBIMENTO" dataDxfId="23"/>
    <tableColumn id="2" xr3:uid="{8D491FBA-8D6E-4D68-9169-C6C807F705B7}" name="NF"/>
    <tableColumn id="3" xr3:uid="{894BE3F1-C62B-4DDF-B040-E03CA1F61E2E}" name="DT VISTORIA " dataDxfId="22"/>
    <tableColumn id="4" xr3:uid="{3A5AA30B-7316-4054-B0A5-D3050BE0A17C}" name="DT REVISTORIA" dataDxfId="21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20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19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13" totalsRowShown="0" headerRowDxfId="17" headerRowBorderDxfId="16">
  <tableColumns count="30">
    <tableColumn id="1" xr3:uid="{01FEB0E5-52BE-4347-BF57-CD16D27B937B}" name="DT RECEBIMENTO" dataDxfId="15"/>
    <tableColumn id="2" xr3:uid="{42D256E5-7905-43C7-B146-BAE1FF4F13EA}" name="DT VISTORIA" dataDxfId="14"/>
    <tableColumn id="3" xr3:uid="{BCCE59B5-8188-4C7C-95C2-715E226A28AA}" name="DT ENTREGA " dataDxfId="13"/>
    <tableColumn id="4" xr3:uid="{DD2FFDF0-7DCD-40B2-BE5B-713ED98D0855}" name="NF" dataDxfId="12"/>
    <tableColumn id="5" xr3:uid="{71C6BD3C-6436-486E-BD85-7935791CB966}" name="SINISTRO" dataDxfId="11"/>
    <tableColumn id="6" xr3:uid="{D289DEB5-E97A-4D43-B4F7-902CC070659C}" name="APÓLICE" dataDxfId="10"/>
    <tableColumn id="7" xr3:uid="{06DE9BC2-A40D-4D00-BB45-8E4F7789BE84}" name="PROPOSTA" dataDxfId="9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8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7"/>
    <tableColumn id="17" xr3:uid="{EE10B1C6-6DEE-4AD7-9D78-EC246389C2FB}" name="AREA VISTORIADA" dataDxfId="6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5"/>
    <tableColumn id="30" xr3:uid="{E0E6AE81-E915-44EC-9FD2-4A51D8BDBF5F}" name="STATUS SEGURADORA" dataDxfId="4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8" totalsRowShown="0" headerRowDxfId="3" headerRowBorderDxfId="2">
  <autoFilter ref="A1:F8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" headerRowBorderDxfId="0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tabSelected="1" topLeftCell="A4" workbookViewId="0">
      <selection activeCell="U3" sqref="U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0"/>
  <sheetViews>
    <sheetView topLeftCell="N1" workbookViewId="0">
      <selection activeCell="N14" sqref="N14"/>
    </sheetView>
  </sheetViews>
  <sheetFormatPr defaultRowHeight="15" x14ac:dyDescent="0.25"/>
  <cols>
    <col min="1" max="4" width="22.7109375" customWidth="1"/>
    <col min="5" max="13" width="22.7109375" style="17" customWidth="1"/>
    <col min="14" max="18" width="22.7109375" customWidth="1"/>
  </cols>
  <sheetData>
    <row r="1" spans="1:18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233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157</v>
      </c>
      <c r="R1" s="39" t="s">
        <v>158</v>
      </c>
    </row>
    <row r="2" spans="1:18" x14ac:dyDescent="0.25">
      <c r="A2" t="s">
        <v>99</v>
      </c>
      <c r="B2">
        <v>45</v>
      </c>
      <c r="D2" s="1">
        <v>43831</v>
      </c>
      <c r="E2" s="17" t="s">
        <v>201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202</v>
      </c>
      <c r="P2" t="s">
        <v>180</v>
      </c>
      <c r="Q2" s="1">
        <v>44234</v>
      </c>
      <c r="R2" t="s">
        <v>112</v>
      </c>
    </row>
    <row r="3" spans="1:18" x14ac:dyDescent="0.25">
      <c r="A3" t="s">
        <v>99</v>
      </c>
      <c r="B3">
        <v>45</v>
      </c>
      <c r="D3" s="1">
        <v>43831</v>
      </c>
      <c r="E3" s="17" t="s">
        <v>204</v>
      </c>
      <c r="F3" s="17">
        <v>11</v>
      </c>
      <c r="G3" s="17">
        <v>11</v>
      </c>
      <c r="H3" s="17">
        <v>223</v>
      </c>
      <c r="I3" s="17">
        <v>223</v>
      </c>
      <c r="J3" s="17">
        <v>11</v>
      </c>
      <c r="K3" s="17">
        <v>223</v>
      </c>
      <c r="L3" s="17">
        <v>11</v>
      </c>
      <c r="M3" s="17">
        <v>223</v>
      </c>
      <c r="N3" s="1">
        <v>44234</v>
      </c>
      <c r="O3" t="s">
        <v>231</v>
      </c>
      <c r="P3" t="s">
        <v>180</v>
      </c>
      <c r="Q3" s="1">
        <v>44234</v>
      </c>
      <c r="R3" t="s">
        <v>113</v>
      </c>
    </row>
    <row r="4" spans="1:18" x14ac:dyDescent="0.25">
      <c r="A4" t="s">
        <v>116</v>
      </c>
      <c r="B4">
        <v>45</v>
      </c>
      <c r="D4" s="1">
        <v>43831</v>
      </c>
      <c r="E4" s="17" t="s">
        <v>204</v>
      </c>
      <c r="F4" s="17">
        <v>11</v>
      </c>
      <c r="G4" s="17">
        <v>11</v>
      </c>
      <c r="H4" s="17">
        <v>223</v>
      </c>
      <c r="I4" s="17">
        <v>223</v>
      </c>
      <c r="J4" s="17">
        <v>11</v>
      </c>
      <c r="K4" s="17">
        <v>223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44247</v>
      </c>
      <c r="R4" t="s">
        <v>112</v>
      </c>
    </row>
    <row r="5" spans="1:18" x14ac:dyDescent="0.25">
      <c r="A5" t="s">
        <v>99</v>
      </c>
      <c r="B5">
        <v>45</v>
      </c>
      <c r="D5" s="1">
        <v>43831</v>
      </c>
      <c r="E5" s="17" t="s">
        <v>213</v>
      </c>
      <c r="F5" s="17" t="s">
        <v>205</v>
      </c>
      <c r="G5" s="17" t="s">
        <v>206</v>
      </c>
      <c r="H5" s="17" t="s">
        <v>207</v>
      </c>
      <c r="I5" s="17" t="s">
        <v>210</v>
      </c>
      <c r="J5" s="17" t="s">
        <v>211</v>
      </c>
      <c r="K5" s="17" t="s">
        <v>212</v>
      </c>
      <c r="L5" s="17" t="s">
        <v>208</v>
      </c>
      <c r="M5" s="17" t="s">
        <v>209</v>
      </c>
      <c r="N5" s="1">
        <v>44234</v>
      </c>
      <c r="O5" t="s">
        <v>231</v>
      </c>
      <c r="P5" t="s">
        <v>179</v>
      </c>
      <c r="Q5" s="1">
        <v>44234</v>
      </c>
      <c r="R5" t="s">
        <v>113</v>
      </c>
    </row>
    <row r="6" spans="1:18" x14ac:dyDescent="0.25">
      <c r="A6" t="s">
        <v>116</v>
      </c>
      <c r="B6">
        <v>987</v>
      </c>
      <c r="D6" s="1">
        <v>44379</v>
      </c>
      <c r="E6" s="17" t="s">
        <v>219</v>
      </c>
      <c r="F6" s="17" t="s">
        <v>214</v>
      </c>
      <c r="I6" s="17" t="s">
        <v>210</v>
      </c>
      <c r="J6" s="17" t="s">
        <v>215</v>
      </c>
      <c r="K6" s="17" t="s">
        <v>216</v>
      </c>
      <c r="L6" s="17" t="s">
        <v>217</v>
      </c>
      <c r="M6" s="17" t="s">
        <v>218</v>
      </c>
      <c r="N6" s="1">
        <v>44234</v>
      </c>
      <c r="O6" t="s">
        <v>202</v>
      </c>
      <c r="P6" t="s">
        <v>179</v>
      </c>
      <c r="Q6" s="1">
        <v>44234</v>
      </c>
      <c r="R6" t="s">
        <v>111</v>
      </c>
    </row>
    <row r="7" spans="1:18" x14ac:dyDescent="0.25">
      <c r="A7" t="s">
        <v>91</v>
      </c>
      <c r="B7">
        <v>45</v>
      </c>
      <c r="D7" s="1">
        <v>43831</v>
      </c>
      <c r="E7" s="17" t="s">
        <v>221</v>
      </c>
      <c r="F7" s="17" t="s">
        <v>206</v>
      </c>
      <c r="G7" s="17" t="s">
        <v>211</v>
      </c>
      <c r="H7" s="17" t="s">
        <v>212</v>
      </c>
      <c r="I7" s="17" t="s">
        <v>207</v>
      </c>
      <c r="J7" s="17" t="s">
        <v>208</v>
      </c>
      <c r="K7" s="17" t="s">
        <v>209</v>
      </c>
      <c r="L7" s="17">
        <v>11</v>
      </c>
      <c r="M7" s="17" t="s">
        <v>220</v>
      </c>
      <c r="N7" s="1">
        <v>44234</v>
      </c>
      <c r="O7" t="s">
        <v>202</v>
      </c>
      <c r="P7" t="s">
        <v>180</v>
      </c>
      <c r="Q7" s="1">
        <v>44234</v>
      </c>
      <c r="R7" t="s">
        <v>234</v>
      </c>
    </row>
    <row r="8" spans="1:18" x14ac:dyDescent="0.25">
      <c r="A8" t="s">
        <v>116</v>
      </c>
      <c r="B8">
        <v>45</v>
      </c>
      <c r="D8" s="1">
        <v>43831</v>
      </c>
      <c r="E8" s="40">
        <v>2</v>
      </c>
      <c r="F8" s="40">
        <v>50</v>
      </c>
      <c r="G8" s="40">
        <v>32</v>
      </c>
      <c r="H8" s="40">
        <v>14</v>
      </c>
      <c r="I8" s="40">
        <v>30</v>
      </c>
      <c r="J8" s="40">
        <v>1</v>
      </c>
      <c r="K8" s="40">
        <v>352.1</v>
      </c>
      <c r="L8" s="40">
        <v>11</v>
      </c>
      <c r="M8" s="40">
        <v>462.1</v>
      </c>
      <c r="N8" s="1">
        <v>44234</v>
      </c>
      <c r="O8" t="s">
        <v>202</v>
      </c>
      <c r="P8" t="s">
        <v>179</v>
      </c>
      <c r="Q8" s="1">
        <v>44234</v>
      </c>
      <c r="R8" t="s">
        <v>115</v>
      </c>
    </row>
    <row r="9" spans="1:18" x14ac:dyDescent="0.25">
      <c r="A9" t="s">
        <v>116</v>
      </c>
      <c r="B9">
        <v>785</v>
      </c>
      <c r="D9" s="1">
        <v>44234</v>
      </c>
      <c r="E9" s="40">
        <v>10</v>
      </c>
      <c r="F9" s="40">
        <v>1</v>
      </c>
      <c r="G9" s="40">
        <v>1</v>
      </c>
      <c r="H9" s="40">
        <v>1</v>
      </c>
      <c r="I9" s="40">
        <v>1</v>
      </c>
      <c r="J9" s="40">
        <v>1</v>
      </c>
      <c r="K9" s="40">
        <v>1</v>
      </c>
      <c r="L9" s="40">
        <v>1</v>
      </c>
      <c r="M9" s="40">
        <v>16</v>
      </c>
      <c r="N9" s="1">
        <v>44234</v>
      </c>
      <c r="O9" t="s">
        <v>202</v>
      </c>
      <c r="P9" t="s">
        <v>179</v>
      </c>
      <c r="Q9" s="1">
        <v>44234</v>
      </c>
      <c r="R9" t="s">
        <v>115</v>
      </c>
    </row>
    <row r="10" spans="1:18" x14ac:dyDescent="0.25">
      <c r="A10" t="s">
        <v>99</v>
      </c>
      <c r="B10">
        <v>45</v>
      </c>
      <c r="D10" s="1">
        <v>43831</v>
      </c>
      <c r="E10" s="17" t="s">
        <v>201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180</v>
      </c>
      <c r="Q10" s="1">
        <v>44234</v>
      </c>
      <c r="R10" t="s">
        <v>112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7"/>
  <sheetViews>
    <sheetView showGridLines="0" topLeftCell="A7" workbookViewId="0">
      <selection activeCell="B8" sqref="B8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V20"/>
  <sheetViews>
    <sheetView workbookViewId="0">
      <selection activeCell="E5" sqref="E5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</cols>
  <sheetData>
    <row r="1" spans="1:22" ht="31.5" customHeight="1" x14ac:dyDescent="0.25"/>
    <row r="2" spans="1:22" x14ac:dyDescent="0.25">
      <c r="A2" s="53" t="s">
        <v>197</v>
      </c>
      <c r="B2" s="53" t="s">
        <v>64</v>
      </c>
      <c r="C2" s="53" t="s">
        <v>200</v>
      </c>
      <c r="D2" s="53" t="s">
        <v>160</v>
      </c>
      <c r="E2" s="53" t="s">
        <v>73</v>
      </c>
      <c r="F2" s="53" t="s">
        <v>75</v>
      </c>
      <c r="G2" s="53" t="s">
        <v>78</v>
      </c>
      <c r="H2" s="53" t="s">
        <v>79</v>
      </c>
      <c r="I2" s="53" t="s">
        <v>56</v>
      </c>
      <c r="J2" s="53" t="s">
        <v>177</v>
      </c>
      <c r="K2" s="53" t="s">
        <v>80</v>
      </c>
      <c r="L2" s="53" t="s">
        <v>81</v>
      </c>
      <c r="M2" s="53" t="s">
        <v>199</v>
      </c>
      <c r="N2" s="53" t="s">
        <v>178</v>
      </c>
      <c r="O2" s="53" t="s">
        <v>157</v>
      </c>
      <c r="P2" s="53" t="s">
        <v>158</v>
      </c>
      <c r="R2" s="60" t="s">
        <v>235</v>
      </c>
      <c r="S2" s="60"/>
      <c r="U2" s="60" t="s">
        <v>240</v>
      </c>
      <c r="V2" s="60"/>
    </row>
    <row r="3" spans="1:22" x14ac:dyDescent="0.25">
      <c r="A3" t="s">
        <v>116</v>
      </c>
      <c r="B3">
        <v>45</v>
      </c>
      <c r="C3" t="s">
        <v>227</v>
      </c>
      <c r="D3" s="1">
        <v>43831</v>
      </c>
      <c r="E3">
        <v>2</v>
      </c>
      <c r="F3">
        <v>50</v>
      </c>
      <c r="G3">
        <v>32</v>
      </c>
      <c r="H3">
        <v>14</v>
      </c>
      <c r="I3">
        <v>30</v>
      </c>
      <c r="J3">
        <v>1</v>
      </c>
      <c r="K3">
        <v>11</v>
      </c>
      <c r="L3">
        <v>462.1</v>
      </c>
      <c r="M3" t="s">
        <v>202</v>
      </c>
      <c r="N3" t="s">
        <v>179</v>
      </c>
      <c r="O3" s="1">
        <v>44234</v>
      </c>
      <c r="P3" t="s">
        <v>115</v>
      </c>
      <c r="R3" s="42" t="s">
        <v>113</v>
      </c>
      <c r="S3" s="17">
        <f>SUMIF(P:P,$R3,L:L)</f>
        <v>223</v>
      </c>
      <c r="U3" t="s">
        <v>202</v>
      </c>
      <c r="V3" s="17">
        <f>SUMIF(M:M,U3,L:L)</f>
        <v>701.1</v>
      </c>
    </row>
    <row r="4" spans="1:22" x14ac:dyDescent="0.25">
      <c r="A4" t="s">
        <v>116</v>
      </c>
      <c r="B4">
        <v>45</v>
      </c>
      <c r="C4" t="s">
        <v>227</v>
      </c>
      <c r="D4" s="1">
        <v>43831</v>
      </c>
      <c r="E4" t="s">
        <v>204</v>
      </c>
      <c r="F4">
        <v>11</v>
      </c>
      <c r="G4">
        <v>11</v>
      </c>
      <c r="H4">
        <v>223</v>
      </c>
      <c r="I4">
        <v>223</v>
      </c>
      <c r="J4">
        <v>11</v>
      </c>
      <c r="K4">
        <v>11</v>
      </c>
      <c r="L4">
        <v>223</v>
      </c>
      <c r="M4" t="s">
        <v>231</v>
      </c>
      <c r="N4" t="s">
        <v>180</v>
      </c>
      <c r="O4" s="1">
        <v>44247</v>
      </c>
      <c r="P4" t="s">
        <v>112</v>
      </c>
      <c r="R4" s="43" t="s">
        <v>112</v>
      </c>
      <c r="S4" s="17">
        <f t="shared" ref="S4:S9" si="0">SUMIF(P:P,$R4,L:L)</f>
        <v>446</v>
      </c>
      <c r="U4" t="s">
        <v>231</v>
      </c>
      <c r="V4" s="17">
        <f>SUMIF(M:M,U4,L:L)</f>
        <v>446</v>
      </c>
    </row>
    <row r="5" spans="1:22" x14ac:dyDescent="0.25">
      <c r="A5" t="s">
        <v>116</v>
      </c>
      <c r="B5">
        <v>785</v>
      </c>
      <c r="C5" t="s">
        <v>227</v>
      </c>
      <c r="D5" s="1">
        <v>44234</v>
      </c>
      <c r="E5">
        <v>10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16</v>
      </c>
      <c r="M5" t="s">
        <v>202</v>
      </c>
      <c r="N5" t="s">
        <v>179</v>
      </c>
      <c r="O5" s="1">
        <v>44234</v>
      </c>
      <c r="P5" t="s">
        <v>115</v>
      </c>
      <c r="R5" s="42" t="s">
        <v>110</v>
      </c>
      <c r="S5" s="17">
        <f t="shared" si="0"/>
        <v>0</v>
      </c>
    </row>
    <row r="6" spans="1:22" x14ac:dyDescent="0.25">
      <c r="A6" t="s">
        <v>116</v>
      </c>
      <c r="B6">
        <v>987</v>
      </c>
      <c r="C6" t="s">
        <v>227</v>
      </c>
      <c r="D6" s="1">
        <v>44379</v>
      </c>
      <c r="E6" t="s">
        <v>219</v>
      </c>
      <c r="F6" t="s">
        <v>214</v>
      </c>
      <c r="G6" t="s">
        <v>227</v>
      </c>
      <c r="H6" t="s">
        <v>227</v>
      </c>
      <c r="I6" t="s">
        <v>210</v>
      </c>
      <c r="J6" t="s">
        <v>215</v>
      </c>
      <c r="K6" t="s">
        <v>217</v>
      </c>
      <c r="L6" t="s">
        <v>218</v>
      </c>
      <c r="M6" t="s">
        <v>202</v>
      </c>
      <c r="N6" t="s">
        <v>179</v>
      </c>
      <c r="O6" s="1">
        <v>44234</v>
      </c>
      <c r="P6" t="s">
        <v>111</v>
      </c>
      <c r="R6" s="43" t="s">
        <v>115</v>
      </c>
      <c r="S6" s="17">
        <f t="shared" si="0"/>
        <v>478.1</v>
      </c>
    </row>
    <row r="7" spans="1:22" x14ac:dyDescent="0.25">
      <c r="A7" t="s">
        <v>99</v>
      </c>
      <c r="B7">
        <v>45</v>
      </c>
      <c r="C7" t="s">
        <v>227</v>
      </c>
      <c r="D7" s="1">
        <v>43831</v>
      </c>
      <c r="E7" t="s">
        <v>213</v>
      </c>
      <c r="F7" t="s">
        <v>205</v>
      </c>
      <c r="G7" t="s">
        <v>206</v>
      </c>
      <c r="H7" t="s">
        <v>207</v>
      </c>
      <c r="I7" t="s">
        <v>210</v>
      </c>
      <c r="J7" t="s">
        <v>211</v>
      </c>
      <c r="K7" t="s">
        <v>208</v>
      </c>
      <c r="L7" t="s">
        <v>209</v>
      </c>
      <c r="M7" t="s">
        <v>231</v>
      </c>
      <c r="N7" t="s">
        <v>179</v>
      </c>
      <c r="O7" s="1">
        <v>44234</v>
      </c>
      <c r="P7" t="s">
        <v>113</v>
      </c>
      <c r="R7" s="42" t="s">
        <v>111</v>
      </c>
      <c r="S7" s="17">
        <f t="shared" si="0"/>
        <v>0</v>
      </c>
    </row>
    <row r="8" spans="1:22" x14ac:dyDescent="0.25">
      <c r="A8" t="s">
        <v>99</v>
      </c>
      <c r="B8">
        <v>45</v>
      </c>
      <c r="C8" t="s">
        <v>227</v>
      </c>
      <c r="D8" s="1">
        <v>43831</v>
      </c>
      <c r="E8" t="s">
        <v>204</v>
      </c>
      <c r="F8">
        <v>11</v>
      </c>
      <c r="G8">
        <v>11</v>
      </c>
      <c r="H8">
        <v>223</v>
      </c>
      <c r="I8">
        <v>223</v>
      </c>
      <c r="J8">
        <v>11</v>
      </c>
      <c r="K8">
        <v>11</v>
      </c>
      <c r="L8">
        <v>223</v>
      </c>
      <c r="M8" t="s">
        <v>231</v>
      </c>
      <c r="N8" t="s">
        <v>180</v>
      </c>
      <c r="O8" s="1">
        <v>44234</v>
      </c>
      <c r="P8" t="s">
        <v>113</v>
      </c>
      <c r="R8" s="43" t="s">
        <v>236</v>
      </c>
      <c r="S8" s="17">
        <f t="shared" si="0"/>
        <v>0</v>
      </c>
    </row>
    <row r="9" spans="1:22" x14ac:dyDescent="0.25">
      <c r="A9" t="s">
        <v>99</v>
      </c>
      <c r="B9">
        <v>45</v>
      </c>
      <c r="C9" t="s">
        <v>227</v>
      </c>
      <c r="D9" s="1">
        <v>43831</v>
      </c>
      <c r="E9" t="s">
        <v>201</v>
      </c>
      <c r="F9">
        <v>11</v>
      </c>
      <c r="G9">
        <v>11</v>
      </c>
      <c r="H9">
        <v>223</v>
      </c>
      <c r="I9">
        <v>223</v>
      </c>
      <c r="J9">
        <v>11</v>
      </c>
      <c r="K9">
        <v>11</v>
      </c>
      <c r="L9">
        <v>223</v>
      </c>
      <c r="M9" t="s">
        <v>202</v>
      </c>
      <c r="N9" t="s">
        <v>180</v>
      </c>
      <c r="O9" s="1">
        <v>44234</v>
      </c>
      <c r="P9" t="s">
        <v>112</v>
      </c>
      <c r="R9" s="42" t="s">
        <v>238</v>
      </c>
      <c r="S9" s="17">
        <f t="shared" si="0"/>
        <v>0</v>
      </c>
    </row>
    <row r="10" spans="1:22" x14ac:dyDescent="0.25">
      <c r="A10" t="s">
        <v>91</v>
      </c>
      <c r="B10">
        <v>45</v>
      </c>
      <c r="C10" t="s">
        <v>227</v>
      </c>
      <c r="D10" s="1">
        <v>43831</v>
      </c>
      <c r="E10" t="s">
        <v>221</v>
      </c>
      <c r="F10" t="s">
        <v>206</v>
      </c>
      <c r="G10" t="s">
        <v>211</v>
      </c>
      <c r="H10" t="s">
        <v>212</v>
      </c>
      <c r="I10" t="s">
        <v>207</v>
      </c>
      <c r="J10" t="s">
        <v>208</v>
      </c>
      <c r="K10">
        <v>11</v>
      </c>
      <c r="L10" t="s">
        <v>220</v>
      </c>
      <c r="M10" t="s">
        <v>202</v>
      </c>
      <c r="N10" t="s">
        <v>180</v>
      </c>
      <c r="O10" s="1">
        <v>44234</v>
      </c>
      <c r="P10" t="s">
        <v>234</v>
      </c>
      <c r="R10" s="54"/>
      <c r="S10" s="17"/>
    </row>
    <row r="11" spans="1:22" x14ac:dyDescent="0.25">
      <c r="R11" s="54"/>
      <c r="S11" s="17"/>
    </row>
    <row r="12" spans="1:22" x14ac:dyDescent="0.25">
      <c r="S12" s="17"/>
    </row>
    <row r="13" spans="1:22" x14ac:dyDescent="0.25">
      <c r="S13" s="17"/>
    </row>
    <row r="14" spans="1:22" x14ac:dyDescent="0.25">
      <c r="S14" s="17"/>
    </row>
    <row r="15" spans="1:22" x14ac:dyDescent="0.25">
      <c r="S15" s="17"/>
    </row>
    <row r="16" spans="1:22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2">
    <mergeCell ref="R2:S2"/>
    <mergeCell ref="U2:V2"/>
  </mergeCells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14"/>
  <sheetViews>
    <sheetView workbookViewId="0">
      <selection activeCell="A2" sqref="A2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20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229</v>
      </c>
      <c r="F1" s="16" t="s">
        <v>75</v>
      </c>
      <c r="G1" s="16" t="s">
        <v>78</v>
      </c>
      <c r="H1" s="16" t="s">
        <v>79</v>
      </c>
      <c r="I1" s="16" t="s">
        <v>230</v>
      </c>
      <c r="J1" s="16" t="s">
        <v>177</v>
      </c>
      <c r="K1" s="16" t="s">
        <v>228</v>
      </c>
      <c r="L1" s="16" t="s">
        <v>80</v>
      </c>
      <c r="M1" s="16" t="s">
        <v>81</v>
      </c>
      <c r="N1" s="39" t="s">
        <v>198</v>
      </c>
      <c r="O1" s="39" t="s">
        <v>199</v>
      </c>
      <c r="P1" s="39" t="s">
        <v>178</v>
      </c>
      <c r="Q1" s="39" t="s">
        <v>222</v>
      </c>
      <c r="R1" s="39" t="s">
        <v>158</v>
      </c>
    </row>
    <row r="2" spans="1:20" x14ac:dyDescent="0.25">
      <c r="A2" t="s">
        <v>116</v>
      </c>
      <c r="B2">
        <v>1</v>
      </c>
      <c r="C2">
        <v>3</v>
      </c>
      <c r="D2" s="1">
        <v>43863</v>
      </c>
      <c r="E2" s="17">
        <v>100</v>
      </c>
      <c r="F2" s="17">
        <v>100</v>
      </c>
      <c r="G2" s="17">
        <v>4</v>
      </c>
      <c r="H2" s="17">
        <v>5</v>
      </c>
      <c r="I2" s="17">
        <v>2</v>
      </c>
      <c r="J2" s="17">
        <v>8</v>
      </c>
      <c r="K2" s="17">
        <v>9</v>
      </c>
      <c r="L2" s="17">
        <v>6</v>
      </c>
      <c r="M2" s="17">
        <v>135</v>
      </c>
      <c r="N2" s="1">
        <v>44234</v>
      </c>
      <c r="O2" t="s">
        <v>202</v>
      </c>
      <c r="P2" t="s">
        <v>180</v>
      </c>
      <c r="Q2" s="1">
        <v>44246</v>
      </c>
      <c r="R2" s="41" t="s">
        <v>112</v>
      </c>
      <c r="S2" s="41"/>
      <c r="T2" s="41"/>
    </row>
    <row r="3" spans="1:20" x14ac:dyDescent="0.25">
      <c r="A3" t="s">
        <v>99</v>
      </c>
      <c r="B3">
        <v>45</v>
      </c>
      <c r="D3" s="1">
        <v>43831</v>
      </c>
      <c r="E3" s="17">
        <v>600</v>
      </c>
      <c r="F3" s="17">
        <v>252</v>
      </c>
      <c r="G3" s="17">
        <v>11</v>
      </c>
      <c r="H3" s="17">
        <v>223</v>
      </c>
      <c r="I3" s="17">
        <v>223</v>
      </c>
      <c r="J3" s="17">
        <v>11</v>
      </c>
      <c r="K3" s="17">
        <v>602.1</v>
      </c>
      <c r="L3" s="17">
        <v>11</v>
      </c>
      <c r="M3" s="17">
        <v>1710.1</v>
      </c>
      <c r="N3" s="1">
        <v>44234</v>
      </c>
      <c r="O3" t="s">
        <v>202</v>
      </c>
      <c r="P3" t="s">
        <v>180</v>
      </c>
      <c r="Q3" s="1">
        <v>44246</v>
      </c>
      <c r="R3" s="1" t="s">
        <v>112</v>
      </c>
    </row>
    <row r="4" spans="1:20" x14ac:dyDescent="0.25">
      <c r="A4" t="s">
        <v>116</v>
      </c>
      <c r="B4">
        <v>45</v>
      </c>
      <c r="D4" s="1">
        <v>43831</v>
      </c>
      <c r="E4" s="17">
        <v>120</v>
      </c>
      <c r="F4" s="17">
        <v>11</v>
      </c>
      <c r="G4" s="17">
        <v>11</v>
      </c>
      <c r="H4" s="17">
        <v>602.1</v>
      </c>
      <c r="I4" s="17">
        <v>223</v>
      </c>
      <c r="J4" s="17">
        <v>11</v>
      </c>
      <c r="K4" s="17">
        <v>1710.1</v>
      </c>
      <c r="L4" s="17">
        <v>11</v>
      </c>
      <c r="M4" s="17">
        <v>223</v>
      </c>
      <c r="N4" s="1">
        <v>44234</v>
      </c>
      <c r="O4" t="s">
        <v>231</v>
      </c>
      <c r="P4" t="s">
        <v>180</v>
      </c>
      <c r="Q4" s="1">
        <v>44246</v>
      </c>
      <c r="R4" s="41" t="s">
        <v>112</v>
      </c>
    </row>
    <row r="5" spans="1:20" x14ac:dyDescent="0.25">
      <c r="A5" t="s">
        <v>116</v>
      </c>
      <c r="B5">
        <v>45</v>
      </c>
      <c r="D5" s="1">
        <v>43831</v>
      </c>
      <c r="E5" s="17">
        <v>223</v>
      </c>
      <c r="F5" s="17">
        <v>11</v>
      </c>
      <c r="G5" s="17">
        <v>11</v>
      </c>
      <c r="H5" s="17">
        <v>1710.1</v>
      </c>
      <c r="I5" s="17">
        <v>602.1</v>
      </c>
      <c r="J5" s="17">
        <v>11</v>
      </c>
      <c r="K5" s="17">
        <v>223</v>
      </c>
      <c r="L5" s="17">
        <v>11</v>
      </c>
      <c r="M5" s="17">
        <v>223</v>
      </c>
      <c r="N5" s="1">
        <v>44234</v>
      </c>
      <c r="O5" t="s">
        <v>202</v>
      </c>
      <c r="P5" t="s">
        <v>180</v>
      </c>
      <c r="Q5" s="1">
        <v>44246</v>
      </c>
      <c r="R5" s="1" t="s">
        <v>112</v>
      </c>
    </row>
    <row r="6" spans="1:20" x14ac:dyDescent="0.25">
      <c r="A6" t="s">
        <v>91</v>
      </c>
      <c r="B6">
        <v>45</v>
      </c>
      <c r="D6" s="1">
        <v>43831</v>
      </c>
      <c r="E6" s="17">
        <v>223</v>
      </c>
      <c r="F6" s="17">
        <v>11</v>
      </c>
      <c r="G6" s="17">
        <v>11</v>
      </c>
      <c r="H6" s="17">
        <v>223</v>
      </c>
      <c r="I6" s="17">
        <v>1710.1</v>
      </c>
      <c r="J6" s="17">
        <v>11</v>
      </c>
      <c r="K6" s="17">
        <v>223</v>
      </c>
      <c r="L6" s="17">
        <v>11</v>
      </c>
      <c r="M6" s="17">
        <v>223</v>
      </c>
      <c r="N6" s="1">
        <v>44234</v>
      </c>
      <c r="O6" t="s">
        <v>202</v>
      </c>
      <c r="P6" t="s">
        <v>179</v>
      </c>
      <c r="Q6" s="1">
        <v>44246</v>
      </c>
      <c r="R6" s="41" t="s">
        <v>112</v>
      </c>
    </row>
    <row r="7" spans="1:20" x14ac:dyDescent="0.25">
      <c r="A7" t="s">
        <v>116</v>
      </c>
      <c r="B7">
        <v>45</v>
      </c>
      <c r="D7" s="1">
        <v>43831</v>
      </c>
      <c r="E7" s="17">
        <v>223</v>
      </c>
      <c r="F7" s="17">
        <v>11</v>
      </c>
      <c r="G7" s="17">
        <v>11</v>
      </c>
      <c r="H7" s="17">
        <v>223</v>
      </c>
      <c r="I7" s="17">
        <v>1710.1</v>
      </c>
      <c r="J7" s="17">
        <v>11</v>
      </c>
      <c r="K7" s="17">
        <v>223</v>
      </c>
      <c r="L7" s="17">
        <v>11</v>
      </c>
      <c r="M7" s="17">
        <v>223</v>
      </c>
      <c r="N7" s="1">
        <v>44234</v>
      </c>
      <c r="O7" t="s">
        <v>202</v>
      </c>
      <c r="P7" t="s">
        <v>180</v>
      </c>
      <c r="Q7" s="1">
        <v>44246</v>
      </c>
      <c r="R7" s="1" t="s">
        <v>112</v>
      </c>
    </row>
    <row r="8" spans="1:20" x14ac:dyDescent="0.25">
      <c r="A8" t="s">
        <v>117</v>
      </c>
      <c r="B8">
        <v>45</v>
      </c>
      <c r="D8" s="1">
        <v>43831</v>
      </c>
      <c r="E8" s="17">
        <v>602.1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44246</v>
      </c>
      <c r="R8" s="41" t="s">
        <v>112</v>
      </c>
    </row>
    <row r="9" spans="1:20" x14ac:dyDescent="0.25">
      <c r="A9" t="s">
        <v>116</v>
      </c>
      <c r="B9">
        <v>45</v>
      </c>
      <c r="D9" s="1">
        <v>43831</v>
      </c>
      <c r="E9" s="17">
        <v>1710.1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44246</v>
      </c>
      <c r="R9" s="1" t="s">
        <v>112</v>
      </c>
    </row>
    <row r="10" spans="1:20" x14ac:dyDescent="0.25">
      <c r="A10" t="s">
        <v>117</v>
      </c>
      <c r="B10">
        <v>45</v>
      </c>
      <c r="D10" s="1">
        <v>43831</v>
      </c>
      <c r="E10" s="17">
        <v>1710.1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44246</v>
      </c>
      <c r="R10" t="s">
        <v>113</v>
      </c>
    </row>
    <row r="11" spans="1:20" x14ac:dyDescent="0.25">
      <c r="D11" s="1"/>
      <c r="N11" s="1"/>
      <c r="R11" s="1"/>
    </row>
    <row r="12" spans="1:20" x14ac:dyDescent="0.25">
      <c r="D12" s="1"/>
      <c r="N12" s="1"/>
    </row>
    <row r="13" spans="1:20" x14ac:dyDescent="0.25">
      <c r="D13" s="1"/>
      <c r="N13" s="1"/>
    </row>
    <row r="14" spans="1:20" x14ac:dyDescent="0.25">
      <c r="D14" s="1"/>
      <c r="E14" s="40"/>
      <c r="F14" s="40"/>
      <c r="G14" s="40"/>
      <c r="H14" s="40"/>
      <c r="I14" s="40"/>
      <c r="J14" s="40"/>
      <c r="K14" s="40"/>
      <c r="L14" s="40"/>
      <c r="M14" s="40"/>
      <c r="N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59"/>
  <sheetViews>
    <sheetView showGridLines="0" workbookViewId="0">
      <selection sqref="A1:Q1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3" t="s">
        <v>223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2"/>
      <c r="C3" s="62"/>
      <c r="D3" s="62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>Liquidado</v>
      </c>
      <c r="K3" s="52" t="str">
        <f>IF($B$6&lt;&gt;"",$B$6,"")</f>
        <v>Pericia</v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2"/>
      <c r="C4" s="62"/>
      <c r="D4" s="62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2" t="s">
        <v>180</v>
      </c>
      <c r="C5" s="62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1" t="s">
        <v>231</v>
      </c>
      <c r="C6" s="61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18" t="s">
        <v>197</v>
      </c>
      <c r="B7" s="18" t="s">
        <v>64</v>
      </c>
      <c r="C7" s="18" t="s">
        <v>200</v>
      </c>
      <c r="D7" s="18" t="s">
        <v>160</v>
      </c>
      <c r="E7" s="16" t="s">
        <v>229</v>
      </c>
      <c r="F7" s="16" t="s">
        <v>75</v>
      </c>
      <c r="G7" s="16" t="s">
        <v>78</v>
      </c>
      <c r="H7" s="16" t="s">
        <v>79</v>
      </c>
      <c r="I7" s="16" t="s">
        <v>230</v>
      </c>
      <c r="J7" s="16" t="s">
        <v>177</v>
      </c>
      <c r="K7" s="16" t="s">
        <v>228</v>
      </c>
      <c r="L7" s="16" t="s">
        <v>80</v>
      </c>
      <c r="M7" s="16" t="s">
        <v>81</v>
      </c>
      <c r="N7" s="39" t="s">
        <v>198</v>
      </c>
      <c r="O7" s="39" t="s">
        <v>199</v>
      </c>
      <c r="P7" s="39" t="s">
        <v>178</v>
      </c>
      <c r="Q7" s="39" t="s">
        <v>222</v>
      </c>
      <c r="R7" s="39" t="s">
        <v>158</v>
      </c>
    </row>
    <row r="8" spans="1:27" x14ac:dyDescent="0.25">
      <c r="A8" t="s">
        <v>116</v>
      </c>
      <c r="B8">
        <v>45</v>
      </c>
      <c r="D8" s="1">
        <v>43831</v>
      </c>
      <c r="E8" s="17">
        <v>120</v>
      </c>
      <c r="F8" s="17">
        <v>11</v>
      </c>
      <c r="G8" s="17">
        <v>11</v>
      </c>
      <c r="H8" s="17">
        <v>602.1</v>
      </c>
      <c r="I8" s="17">
        <v>223</v>
      </c>
      <c r="J8" s="17">
        <v>11</v>
      </c>
      <c r="K8" s="17">
        <v>1710.1</v>
      </c>
      <c r="L8" s="17">
        <v>11</v>
      </c>
      <c r="M8" s="17">
        <v>223</v>
      </c>
      <c r="N8" s="1">
        <v>44234</v>
      </c>
      <c r="O8" t="s">
        <v>231</v>
      </c>
      <c r="P8" t="s">
        <v>180</v>
      </c>
      <c r="Q8" s="1">
        <v>44246</v>
      </c>
      <c r="R8" s="41" t="s">
        <v>112</v>
      </c>
    </row>
    <row r="9" spans="1:27" x14ac:dyDescent="0.25">
      <c r="D9" s="1"/>
      <c r="N9" s="1"/>
      <c r="Q9" s="1"/>
      <c r="R9" s="1"/>
    </row>
    <row r="10" spans="1:27" x14ac:dyDescent="0.25">
      <c r="D10" s="1"/>
      <c r="N10" s="1"/>
      <c r="Q10" s="1"/>
      <c r="R10" s="1"/>
    </row>
    <row r="11" spans="1:27" x14ac:dyDescent="0.25">
      <c r="D11" s="1"/>
      <c r="N11" s="1"/>
      <c r="Q11" s="1"/>
      <c r="R11" s="1"/>
    </row>
    <row r="12" spans="1:27" x14ac:dyDescent="0.25">
      <c r="D12" s="1"/>
      <c r="N12" s="1"/>
      <c r="Q12" s="1"/>
      <c r="R12" s="1"/>
    </row>
    <row r="13" spans="1:27" x14ac:dyDescent="0.25">
      <c r="D13" s="1"/>
      <c r="N13" s="1"/>
      <c r="Q13" s="1"/>
      <c r="R13" s="41"/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59"/>
  <sheetViews>
    <sheetView showGridLines="0" workbookViewId="0">
      <selection activeCell="F5" sqref="F5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63" t="s">
        <v>232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x14ac:dyDescent="0.25">
      <c r="A2" t="s">
        <v>182</v>
      </c>
      <c r="B2" s="28">
        <v>43831</v>
      </c>
      <c r="C2" s="26" t="s">
        <v>181</v>
      </c>
      <c r="D2" s="28">
        <v>43831</v>
      </c>
      <c r="F2" s="50" t="s">
        <v>160</v>
      </c>
      <c r="G2" s="50" t="s">
        <v>160</v>
      </c>
      <c r="H2" s="51" t="s">
        <v>197</v>
      </c>
      <c r="I2" s="51" t="s">
        <v>158</v>
      </c>
      <c r="J2" s="51" t="s">
        <v>178</v>
      </c>
      <c r="K2" s="51" t="s">
        <v>199</v>
      </c>
      <c r="L2" s="55"/>
      <c r="O2" s="29"/>
      <c r="P2" s="29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27" x14ac:dyDescent="0.25">
      <c r="A3" s="27" t="s">
        <v>183</v>
      </c>
      <c r="B3" s="62"/>
      <c r="C3" s="62"/>
      <c r="D3" s="62"/>
      <c r="E3" s="46"/>
      <c r="F3" s="52" t="str">
        <f>"&gt;="&amp;IF($B$2="",0,$B$2)</f>
        <v>&gt;=43831</v>
      </c>
      <c r="G3" s="52" t="str">
        <f>"&lt;="&amp;IF($D$2="",99999,$D$2)</f>
        <v>&lt;=43831</v>
      </c>
      <c r="H3" s="52" t="str">
        <f>IF($B$3&lt;&gt;"",$B$3,"")</f>
        <v/>
      </c>
      <c r="I3" s="52" t="str">
        <f>IF($B$4&lt;&gt;"",$B$4,"")</f>
        <v/>
      </c>
      <c r="J3" s="52" t="str">
        <f>IF($B$5&lt;&gt;"",$B$5,"")</f>
        <v/>
      </c>
      <c r="K3" s="52" t="str">
        <f>IF($B$6&lt;&gt;"",$B$6,"")</f>
        <v/>
      </c>
      <c r="L3" s="55"/>
      <c r="O3" s="29"/>
      <c r="P3" s="29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27" x14ac:dyDescent="0.25">
      <c r="A4" s="27" t="s">
        <v>184</v>
      </c>
      <c r="B4" s="62"/>
      <c r="C4" s="62"/>
      <c r="D4" s="62"/>
      <c r="E4" s="46"/>
      <c r="F4" s="56"/>
      <c r="G4" s="55"/>
      <c r="H4" s="57"/>
      <c r="I4" s="57"/>
      <c r="J4" s="57"/>
      <c r="K4" s="57"/>
      <c r="L4" s="55"/>
      <c r="M4" s="47"/>
      <c r="N4" s="29"/>
      <c r="O4" s="29"/>
      <c r="P4" s="29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27" x14ac:dyDescent="0.25">
      <c r="A5" s="31" t="s">
        <v>188</v>
      </c>
      <c r="B5" s="62"/>
      <c r="C5" s="62"/>
      <c r="D5" s="27" t="s">
        <v>226</v>
      </c>
      <c r="E5" s="48"/>
      <c r="F5" s="58"/>
      <c r="G5" s="55"/>
      <c r="H5" s="55"/>
      <c r="I5" s="55"/>
      <c r="J5" s="55"/>
      <c r="K5" s="55"/>
      <c r="L5" s="55"/>
      <c r="M5" s="47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7" x14ac:dyDescent="0.25">
      <c r="A6" s="31" t="s">
        <v>224</v>
      </c>
      <c r="B6" s="61"/>
      <c r="C6" s="61"/>
      <c r="D6" t="s">
        <v>225</v>
      </c>
      <c r="E6" s="49"/>
      <c r="F6" s="59"/>
      <c r="G6" s="55"/>
      <c r="H6" s="55"/>
      <c r="I6" s="55"/>
      <c r="J6" s="55"/>
      <c r="K6" s="55"/>
      <c r="L6" s="55"/>
      <c r="M6" s="47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</row>
    <row r="7" spans="1:27" x14ac:dyDescent="0.25">
      <c r="A7" s="44" t="s">
        <v>197</v>
      </c>
      <c r="B7" s="18" t="s">
        <v>64</v>
      </c>
      <c r="C7" s="18" t="s">
        <v>200</v>
      </c>
      <c r="D7" s="18" t="s">
        <v>160</v>
      </c>
      <c r="E7" s="18" t="s">
        <v>73</v>
      </c>
      <c r="F7" s="18" t="s">
        <v>75</v>
      </c>
      <c r="G7" s="18" t="s">
        <v>78</v>
      </c>
      <c r="H7" s="18" t="s">
        <v>79</v>
      </c>
      <c r="I7" s="18" t="s">
        <v>56</v>
      </c>
      <c r="J7" s="18" t="s">
        <v>177</v>
      </c>
      <c r="K7" s="18" t="s">
        <v>59</v>
      </c>
      <c r="L7" s="18" t="s">
        <v>80</v>
      </c>
      <c r="M7" s="18" t="s">
        <v>81</v>
      </c>
      <c r="N7" s="18" t="s">
        <v>198</v>
      </c>
      <c r="O7" s="18" t="s">
        <v>199</v>
      </c>
      <c r="P7" s="18" t="s">
        <v>178</v>
      </c>
      <c r="Q7" s="18" t="s">
        <v>157</v>
      </c>
      <c r="R7" s="45" t="s">
        <v>158</v>
      </c>
    </row>
    <row r="8" spans="1:27" x14ac:dyDescent="0.25">
      <c r="A8" t="s">
        <v>2</v>
      </c>
      <c r="B8">
        <v>45</v>
      </c>
      <c r="D8" s="1">
        <v>43831</v>
      </c>
      <c r="E8" s="17" t="s">
        <v>201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  <c r="Q8" s="1">
        <v>44234</v>
      </c>
      <c r="R8" t="s">
        <v>179</v>
      </c>
    </row>
    <row r="9" spans="1:27" x14ac:dyDescent="0.25">
      <c r="A9" t="s">
        <v>2</v>
      </c>
      <c r="B9">
        <v>45</v>
      </c>
      <c r="D9" s="1">
        <v>43831</v>
      </c>
      <c r="E9" s="17" t="s">
        <v>204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  <c r="Q9" s="1">
        <v>44234</v>
      </c>
      <c r="R9" t="s">
        <v>179</v>
      </c>
    </row>
    <row r="10" spans="1:27" x14ac:dyDescent="0.25">
      <c r="A10" t="s">
        <v>2</v>
      </c>
      <c r="B10">
        <v>45</v>
      </c>
      <c r="D10" s="1">
        <v>43831</v>
      </c>
      <c r="E10" s="17" t="s">
        <v>204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  <c r="Q10" s="1">
        <v>44234</v>
      </c>
      <c r="R10" t="s">
        <v>179</v>
      </c>
    </row>
    <row r="11" spans="1:27" x14ac:dyDescent="0.25">
      <c r="A11" t="s">
        <v>2</v>
      </c>
      <c r="B11">
        <v>45</v>
      </c>
      <c r="D11" s="1">
        <v>43831</v>
      </c>
      <c r="E11" s="17" t="s">
        <v>213</v>
      </c>
      <c r="F11" s="17" t="s">
        <v>205</v>
      </c>
      <c r="G11" s="17" t="s">
        <v>206</v>
      </c>
      <c r="H11" s="17" t="s">
        <v>207</v>
      </c>
      <c r="I11" s="17" t="s">
        <v>210</v>
      </c>
      <c r="J11" s="17" t="s">
        <v>211</v>
      </c>
      <c r="K11" s="17" t="s">
        <v>212</v>
      </c>
      <c r="L11" s="17" t="s">
        <v>208</v>
      </c>
      <c r="M11" s="17" t="s">
        <v>209</v>
      </c>
      <c r="N11" s="1">
        <v>44234</v>
      </c>
      <c r="O11" t="s">
        <v>202</v>
      </c>
      <c r="P11" t="s">
        <v>179</v>
      </c>
      <c r="Q11" s="1">
        <v>44234</v>
      </c>
      <c r="R11" t="s">
        <v>179</v>
      </c>
    </row>
    <row r="12" spans="1:27" x14ac:dyDescent="0.25">
      <c r="A12" t="s">
        <v>2</v>
      </c>
      <c r="B12">
        <v>45</v>
      </c>
      <c r="D12" s="1">
        <v>43831</v>
      </c>
      <c r="E12" s="17" t="s">
        <v>221</v>
      </c>
      <c r="F12" s="17" t="s">
        <v>206</v>
      </c>
      <c r="G12" s="17" t="s">
        <v>211</v>
      </c>
      <c r="H12" s="17" t="s">
        <v>212</v>
      </c>
      <c r="I12" s="17" t="s">
        <v>207</v>
      </c>
      <c r="J12" s="17" t="s">
        <v>208</v>
      </c>
      <c r="K12" s="17" t="s">
        <v>209</v>
      </c>
      <c r="L12" s="17">
        <v>11</v>
      </c>
      <c r="M12" s="17" t="s">
        <v>220</v>
      </c>
      <c r="N12" s="1">
        <v>44234</v>
      </c>
      <c r="O12" t="s">
        <v>202</v>
      </c>
      <c r="P12" t="s">
        <v>179</v>
      </c>
      <c r="Q12" s="1">
        <v>44234</v>
      </c>
      <c r="R12" t="s">
        <v>179</v>
      </c>
    </row>
    <row r="13" spans="1:27" x14ac:dyDescent="0.25">
      <c r="A13" t="s">
        <v>2</v>
      </c>
      <c r="B13">
        <v>45</v>
      </c>
      <c r="D13" s="1">
        <v>43831</v>
      </c>
      <c r="E13" s="40">
        <v>2</v>
      </c>
      <c r="F13" s="40">
        <v>50</v>
      </c>
      <c r="G13" s="40">
        <v>32</v>
      </c>
      <c r="H13" s="40">
        <v>14</v>
      </c>
      <c r="I13" s="40">
        <v>30</v>
      </c>
      <c r="J13" s="40">
        <v>1</v>
      </c>
      <c r="K13" s="40">
        <v>352.1</v>
      </c>
      <c r="L13" s="40">
        <v>11</v>
      </c>
      <c r="M13" s="40">
        <v>462.1</v>
      </c>
      <c r="N13" s="1">
        <v>44234</v>
      </c>
      <c r="O13" t="s">
        <v>202</v>
      </c>
      <c r="P13" t="s">
        <v>179</v>
      </c>
      <c r="Q13" s="1">
        <v>44234</v>
      </c>
      <c r="R13" t="s">
        <v>179</v>
      </c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opLeftCell="F1" workbookViewId="0">
      <selection activeCell="K13" sqref="K1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L2" s="40">
        <v>2</v>
      </c>
      <c r="M2" t="s">
        <v>210</v>
      </c>
      <c r="N2" s="40">
        <v>50</v>
      </c>
      <c r="O2" s="40">
        <v>30</v>
      </c>
      <c r="P2" s="40">
        <v>32</v>
      </c>
      <c r="Q2" s="40">
        <v>14</v>
      </c>
      <c r="R2" s="40">
        <v>1</v>
      </c>
      <c r="S2" s="40">
        <v>352.1</v>
      </c>
      <c r="T2" s="40">
        <v>11</v>
      </c>
      <c r="U2" s="40">
        <v>462.1</v>
      </c>
      <c r="V2" t="s">
        <v>113</v>
      </c>
      <c r="W2" s="17" t="s">
        <v>179</v>
      </c>
      <c r="X2" s="17" t="s">
        <v>179</v>
      </c>
      <c r="Y2" t="s">
        <v>205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L3" s="17">
        <v>1</v>
      </c>
      <c r="M3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 t="s">
        <v>203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>
        <v>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34">
        <v>44349</v>
      </c>
      <c r="X20">
        <v>987</v>
      </c>
    </row>
    <row r="21" spans="1:26" x14ac:dyDescent="0.25">
      <c r="A21" s="1">
        <v>44233</v>
      </c>
      <c r="B21">
        <v>2</v>
      </c>
      <c r="C21" s="1">
        <v>44379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M21">
        <v>13</v>
      </c>
      <c r="N21" s="17" t="s">
        <v>214</v>
      </c>
      <c r="O21" s="17" t="s">
        <v>210</v>
      </c>
      <c r="R21" s="17" t="s">
        <v>215</v>
      </c>
      <c r="S21" s="17" t="s">
        <v>216</v>
      </c>
      <c r="T21" s="17" t="s">
        <v>217</v>
      </c>
      <c r="U21" s="17" t="s">
        <v>218</v>
      </c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B22">
        <v>1</v>
      </c>
      <c r="C22" s="1">
        <v>44234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L22" s="40">
        <v>10</v>
      </c>
      <c r="M22">
        <v>1</v>
      </c>
      <c r="N22" s="40">
        <v>1</v>
      </c>
      <c r="O22" s="40">
        <v>1</v>
      </c>
      <c r="P22" s="40">
        <v>1</v>
      </c>
      <c r="Q22" s="40">
        <v>1</v>
      </c>
      <c r="R22" s="40">
        <v>1</v>
      </c>
      <c r="S22" s="40">
        <v>1</v>
      </c>
      <c r="T22" s="40">
        <v>1</v>
      </c>
      <c r="U22" s="40">
        <v>16</v>
      </c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13"/>
  <sheetViews>
    <sheetView topLeftCell="O1" workbookViewId="0">
      <selection activeCell="G6" sqref="G6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9" width="21.7109375" style="1" customWidth="1"/>
    <col min="30" max="30" width="12.28515625" bestFit="1" customWidth="1"/>
  </cols>
  <sheetData>
    <row r="1" spans="1:30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195</v>
      </c>
      <c r="AD1" s="2" t="s">
        <v>196</v>
      </c>
    </row>
    <row r="2" spans="1:30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  <c r="AD2" s="17" t="s">
        <v>179</v>
      </c>
    </row>
    <row r="3" spans="1:30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  <c r="AD3" s="17" t="s">
        <v>180</v>
      </c>
    </row>
    <row r="4" spans="1:30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  <c r="AD4" s="17" t="s">
        <v>179</v>
      </c>
    </row>
    <row r="5" spans="1:30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  <c r="AD5" s="17" t="s">
        <v>179</v>
      </c>
    </row>
    <row r="6" spans="1:30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  <c r="AD6" s="17" t="s">
        <v>180</v>
      </c>
    </row>
    <row r="7" spans="1:30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  <c r="AD8" s="17" t="s">
        <v>180</v>
      </c>
    </row>
    <row r="9" spans="1:30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  <c r="AD11" s="17" t="s">
        <v>180</v>
      </c>
    </row>
    <row r="12" spans="1:30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  <c r="AD12" s="17" t="s">
        <v>179</v>
      </c>
    </row>
    <row r="13" spans="1:30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  <c r="AD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activeCell="E2" sqref="E2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63" t="s">
        <v>185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30" x14ac:dyDescent="0.25">
      <c r="B2" t="s">
        <v>182</v>
      </c>
      <c r="E2" s="28">
        <v>43831</v>
      </c>
      <c r="F2" s="26" t="s">
        <v>181</v>
      </c>
      <c r="G2" s="28">
        <v>44227</v>
      </c>
      <c r="H2" s="29"/>
      <c r="I2" s="29"/>
      <c r="J2" s="35" t="s">
        <v>160</v>
      </c>
      <c r="K2" s="35" t="s">
        <v>160</v>
      </c>
      <c r="L2" s="36" t="s">
        <v>53</v>
      </c>
      <c r="M2" s="36" t="s">
        <v>158</v>
      </c>
      <c r="N2" s="36" t="s">
        <v>196</v>
      </c>
      <c r="O2" s="37"/>
      <c r="P2" s="37"/>
      <c r="Q2" s="37"/>
      <c r="R2" s="37"/>
      <c r="S2" s="37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183</v>
      </c>
      <c r="C3" s="62"/>
      <c r="D3" s="62"/>
      <c r="E3" s="62"/>
      <c r="F3" s="62"/>
      <c r="G3" s="62"/>
      <c r="H3" s="29"/>
      <c r="I3" s="29"/>
      <c r="J3" s="38" t="str">
        <f>"&gt;="&amp;IF($E$2="",0,$E$2)</f>
        <v>&gt;=43831</v>
      </c>
      <c r="K3" s="38" t="str">
        <f>"&lt;="&amp;IF($G$2="",99999,$G$2)</f>
        <v>&lt;=44227</v>
      </c>
      <c r="L3" s="38" t="str">
        <f>IF($C$3&lt;&gt;"",$C$3,"")</f>
        <v/>
      </c>
      <c r="M3" s="38" t="str">
        <f>IF($C$4&lt;&gt;"",$C$4,"")</f>
        <v/>
      </c>
      <c r="N3" s="37" t="str">
        <f>IF($C$5&lt;&gt;"",$C$5,"")</f>
        <v>Aberto</v>
      </c>
      <c r="O3" s="37"/>
      <c r="P3" s="37"/>
      <c r="Q3" s="37"/>
      <c r="R3" s="37"/>
      <c r="S3" s="37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184</v>
      </c>
      <c r="C4" s="62"/>
      <c r="D4" s="62"/>
      <c r="E4" s="62"/>
      <c r="F4" s="62"/>
      <c r="G4" s="62"/>
      <c r="H4" s="29"/>
      <c r="I4" s="29"/>
      <c r="J4" s="37"/>
      <c r="K4" s="37"/>
      <c r="L4" s="37"/>
      <c r="M4" s="37"/>
      <c r="N4" s="37"/>
      <c r="O4" s="37"/>
      <c r="P4" s="37"/>
      <c r="Q4" s="37"/>
      <c r="R4" s="37"/>
      <c r="S4" s="37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188</v>
      </c>
      <c r="C5" s="64" t="s">
        <v>179</v>
      </c>
      <c r="D5" s="64"/>
      <c r="E5" s="64"/>
      <c r="F5" s="64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0" t="s">
        <v>195</v>
      </c>
      <c r="AD6" s="25" t="s">
        <v>196</v>
      </c>
    </row>
    <row r="7" spans="1:30" x14ac:dyDescent="0.25">
      <c r="A7" s="15">
        <v>44197</v>
      </c>
      <c r="B7" s="15">
        <v>44197</v>
      </c>
      <c r="C7" s="15" t="s">
        <v>92</v>
      </c>
      <c r="D7" s="12"/>
      <c r="E7" s="12">
        <v>1</v>
      </c>
      <c r="F7" s="12">
        <v>251</v>
      </c>
      <c r="G7" s="10"/>
      <c r="H7" t="s">
        <v>106</v>
      </c>
      <c r="I7" t="s">
        <v>108</v>
      </c>
      <c r="J7" t="s">
        <v>32</v>
      </c>
      <c r="K7" s="13" t="s">
        <v>4</v>
      </c>
      <c r="M7" t="s">
        <v>83</v>
      </c>
      <c r="N7" t="s">
        <v>82</v>
      </c>
      <c r="P7" s="10">
        <v>58</v>
      </c>
      <c r="Q7" s="10"/>
      <c r="R7" t="s">
        <v>110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>
        <v>44197</v>
      </c>
      <c r="C8" s="15">
        <v>650</v>
      </c>
      <c r="D8" s="12"/>
      <c r="E8" s="12">
        <v>6</v>
      </c>
      <c r="F8" s="12">
        <v>525</v>
      </c>
      <c r="G8" s="10"/>
      <c r="H8" t="s">
        <v>123</v>
      </c>
      <c r="J8" t="s">
        <v>31</v>
      </c>
      <c r="K8" s="13" t="s">
        <v>18</v>
      </c>
      <c r="M8" t="s">
        <v>95</v>
      </c>
      <c r="N8" t="s">
        <v>91</v>
      </c>
      <c r="P8" s="10">
        <v>45</v>
      </c>
      <c r="Q8" s="10"/>
      <c r="R8" t="s">
        <v>113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  <c r="AD8" s="17" t="s">
        <v>179</v>
      </c>
    </row>
    <row r="9" spans="1:30" x14ac:dyDescent="0.25">
      <c r="A9" s="15">
        <v>44228</v>
      </c>
      <c r="B9" s="15">
        <v>44197</v>
      </c>
      <c r="C9" s="15">
        <v>44197</v>
      </c>
      <c r="D9" s="12"/>
      <c r="E9" s="12">
        <v>9</v>
      </c>
      <c r="F9" s="12">
        <v>125</v>
      </c>
      <c r="G9" s="10">
        <v>125</v>
      </c>
      <c r="H9" t="s">
        <v>129</v>
      </c>
      <c r="I9" t="s">
        <v>128</v>
      </c>
      <c r="J9" t="s">
        <v>30</v>
      </c>
      <c r="K9" s="13" t="s">
        <v>18</v>
      </c>
      <c r="M9" t="s">
        <v>93</v>
      </c>
      <c r="N9" t="s">
        <v>91</v>
      </c>
      <c r="P9" s="10">
        <v>15</v>
      </c>
      <c r="Q9" s="10"/>
      <c r="R9" t="s">
        <v>115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O10" t="s">
        <v>121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44226</v>
      </c>
      <c r="C11" s="15" t="s">
        <v>174</v>
      </c>
      <c r="D11" s="12"/>
      <c r="E11" s="12">
        <v>122</v>
      </c>
      <c r="F11" s="12">
        <v>122</v>
      </c>
      <c r="G11" s="10">
        <v>122</v>
      </c>
      <c r="H11" t="s">
        <v>175</v>
      </c>
      <c r="I11" t="s">
        <v>2</v>
      </c>
      <c r="J11" t="s">
        <v>30</v>
      </c>
      <c r="K11" s="13" t="s">
        <v>18</v>
      </c>
      <c r="M11" t="s">
        <v>153</v>
      </c>
      <c r="N11" t="s">
        <v>99</v>
      </c>
      <c r="O11" t="s">
        <v>121</v>
      </c>
      <c r="P11" s="10" t="s">
        <v>176</v>
      </c>
      <c r="Q11" s="10"/>
      <c r="R11" t="s">
        <v>112</v>
      </c>
      <c r="S11" s="17"/>
      <c r="U11" s="17"/>
      <c r="W11" s="17"/>
      <c r="X11" s="17"/>
      <c r="Y11" s="17"/>
      <c r="Z11" s="17"/>
      <c r="AA11" s="17"/>
      <c r="AB11" s="1">
        <v>44124</v>
      </c>
      <c r="AC11" s="17" t="s">
        <v>179</v>
      </c>
      <c r="AD11" s="17" t="s">
        <v>179</v>
      </c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S6" sqref="S6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63" t="s">
        <v>186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32"/>
      <c r="W1" s="32"/>
      <c r="X1" s="32"/>
      <c r="Y1" s="32"/>
      <c r="Z1" s="32"/>
      <c r="AA1" s="33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65" t="s">
        <v>91</v>
      </c>
      <c r="F3" s="65"/>
      <c r="AB3" s="30" t="str">
        <f>"&gt;="&amp;IF($E$2="",0,$E$2)</f>
        <v>&gt;=43101</v>
      </c>
      <c r="AC3" s="30" t="str">
        <f>"&lt;="&amp;IF($G$2="",99999,$G$2)</f>
        <v>&lt;=44227</v>
      </c>
      <c r="AD3" s="30" t="str">
        <f>IF($E$3&lt;&gt;"",$E$3,"")</f>
        <v>Marcilio</v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65"/>
      <c r="F4" s="65"/>
    </row>
    <row r="5" spans="1:32" x14ac:dyDescent="0.25">
      <c r="C5" s="31" t="s">
        <v>188</v>
      </c>
      <c r="E5" s="65"/>
      <c r="F5" s="65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F7">
        <v>7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8"/>
  <sheetViews>
    <sheetView workbookViewId="0">
      <selection activeCell="B2" sqref="B2:B8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>
        <v>1</v>
      </c>
      <c r="E4" s="17">
        <v>10</v>
      </c>
      <c r="F4" s="17">
        <v>10</v>
      </c>
    </row>
    <row r="5" spans="1:6" x14ac:dyDescent="0.25">
      <c r="A5" t="s">
        <v>137</v>
      </c>
      <c r="B5" t="s">
        <v>115</v>
      </c>
      <c r="C5" t="s">
        <v>98</v>
      </c>
      <c r="D5" s="17">
        <v>1</v>
      </c>
      <c r="E5" s="17">
        <v>1</v>
      </c>
      <c r="F5" s="17">
        <v>10</v>
      </c>
    </row>
    <row r="6" spans="1:6" x14ac:dyDescent="0.25">
      <c r="A6" t="s">
        <v>97</v>
      </c>
      <c r="B6" t="s">
        <v>111</v>
      </c>
      <c r="C6" t="s">
        <v>148</v>
      </c>
      <c r="D6" s="17">
        <v>1</v>
      </c>
      <c r="E6" s="17">
        <v>25</v>
      </c>
      <c r="F6" s="17">
        <v>10</v>
      </c>
    </row>
    <row r="7" spans="1:6" x14ac:dyDescent="0.25">
      <c r="A7" t="s">
        <v>97</v>
      </c>
      <c r="B7" t="s">
        <v>236</v>
      </c>
      <c r="C7" t="s">
        <v>237</v>
      </c>
      <c r="D7" s="17">
        <v>50</v>
      </c>
      <c r="E7" s="17" t="s">
        <v>206</v>
      </c>
      <c r="F7" s="17"/>
    </row>
    <row r="8" spans="1:6" x14ac:dyDescent="0.25">
      <c r="A8" t="s">
        <v>97</v>
      </c>
      <c r="B8" t="s">
        <v>238</v>
      </c>
      <c r="C8" t="s">
        <v>239</v>
      </c>
      <c r="D8" s="17">
        <v>150</v>
      </c>
      <c r="E8" s="17" t="s">
        <v>206</v>
      </c>
      <c r="F8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18</vt:i4>
      </vt:variant>
    </vt:vector>
  </HeadingPairs>
  <TitlesOfParts>
    <vt:vector size="38" baseType="lpstr">
      <vt:lpstr>Inicial</vt:lpstr>
      <vt:lpstr>ContasAreceber</vt:lpstr>
      <vt:lpstr>DashboardAReceber</vt:lpstr>
      <vt:lpstr>TbDinamicaReceber</vt:lpstr>
      <vt:lpstr>ContasApagar</vt:lpstr>
      <vt:lpstr>DashboardApagar</vt:lpstr>
      <vt:lpstr>RelContasApagar</vt:lpstr>
      <vt:lpstr>RelContasAReceber</vt:lpstr>
      <vt:lpstr>CadPenhor</vt:lpstr>
      <vt:lpstr>CadPericia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RelPenhoPerito!Area_de_extracao</vt:lpstr>
      <vt:lpstr>RelPericiaPerito!Area_de_extracao</vt:lpstr>
      <vt:lpstr>cidades</vt:lpstr>
      <vt:lpstr>RelContasApagar!Criterios</vt:lpstr>
      <vt:lpstr>RelContasAReceber!Criterios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2021-02-20T14:42:51Z</dcterms:modified>
</cp:coreProperties>
</file>