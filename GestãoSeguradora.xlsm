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3D6ABF8C-5177-448A-8148-2CE7DF425898}" xr6:coauthVersionLast="46" xr6:coauthVersionMax="46" xr10:uidLastSave="{00000000-0000-0000-0000-000000000000}"/>
  <bookViews>
    <workbookView xWindow="-120" yWindow="-120" windowWidth="20730" windowHeight="11160" firstSheet="1" activeTab="1" xr2:uid="{E0D4B125-8ABE-41E3-AD67-A9BA722874B8}"/>
  </bookViews>
  <sheets>
    <sheet name="Inicial" sheetId="2" r:id="rId1"/>
    <sheet name="Vistoria" sheetId="25" r:id="rId2"/>
    <sheet name="DashResultado" sheetId="26" r:id="rId3"/>
    <sheet name="DashboardAReceber" sheetId="22" r:id="rId4"/>
    <sheet name="DashboardApagar" sheetId="21" r:id="rId5"/>
    <sheet name="TbDinamicaApagar" sheetId="24" r:id="rId6"/>
    <sheet name="TbDinamicaDespesas" sheetId="29" r:id="rId7"/>
    <sheet name="TbDinamicaReceber" sheetId="23" r:id="rId8"/>
    <sheet name="ContasApagar" sheetId="16" r:id="rId9"/>
    <sheet name="ContasAreceber" sheetId="17" r:id="rId10"/>
    <sheet name="CadPenhor" sheetId="5" r:id="rId11"/>
    <sheet name="CadPericia" sheetId="6" r:id="rId12"/>
    <sheet name="Despesas" sheetId="27" r:id="rId13"/>
    <sheet name="RelDespesas" sheetId="28" r:id="rId14"/>
    <sheet name="RelContasApagar" sheetId="18" r:id="rId15"/>
    <sheet name="RelContasAReceber" sheetId="20" r:id="rId16"/>
    <sheet name="CadSeguradora" sheetId="1" r:id="rId17"/>
    <sheet name="CadPerito" sheetId="7" r:id="rId18"/>
    <sheet name="Cidades" sheetId="4" r:id="rId19"/>
    <sheet name="Cultura" sheetId="11" r:id="rId20"/>
    <sheet name="Sinistro" sheetId="10" r:id="rId21"/>
    <sheet name="TipoBenSeg" sheetId="8" r:id="rId22"/>
    <sheet name="TipoVistoria" sheetId="9" r:id="rId23"/>
    <sheet name="Estados" sheetId="3" r:id="rId24"/>
  </sheets>
  <definedNames>
    <definedName name="_xlnm._FilterDatabase" localSheetId="10" hidden="1">CadPenhor!$B$1:$AG$3</definedName>
    <definedName name="_xlnm._FilterDatabase" localSheetId="11" hidden="1">CadPericia!$B$1:$AD$2</definedName>
    <definedName name="_xlnm._FilterDatabase" localSheetId="8" hidden="1">ContasApagar!$A$1:$T$1</definedName>
    <definedName name="_xlnm._FilterDatabase" localSheetId="9" hidden="1">ContasAreceber!$A$1:$W$6</definedName>
    <definedName name="_xlnm._FilterDatabase" localSheetId="12" hidden="1">Despesas!$A$1:$F$2</definedName>
    <definedName name="_xlnm._FilterDatabase" localSheetId="14" hidden="1">RelContasApagar!$A$7:$R$7</definedName>
    <definedName name="_xlnm._FilterDatabase" localSheetId="15" hidden="1">RelContasAReceber!$A$7:$R$7</definedName>
    <definedName name="_xlnm.Extract" localSheetId="11">CadPericia!#REF!</definedName>
    <definedName name="_xlnm.Extract" localSheetId="0">Inicial!#REF!</definedName>
    <definedName name="_xlnm.Extract" localSheetId="14">RelContasApagar!$A$7:$R$7</definedName>
    <definedName name="_xlnm.Extract" localSheetId="15">RelContasAReceber!$A$7:$R$7</definedName>
    <definedName name="_xlnm.Extract" localSheetId="13">RelDespesas!$A$4:$E$4</definedName>
    <definedName name="cidades">Cidades!$A:$A</definedName>
    <definedName name="_xlnm.Criteria" localSheetId="11">CadPericia!#REF!</definedName>
    <definedName name="_xlnm.Criteria" localSheetId="0">Inicial!$J$2:$N$3</definedName>
    <definedName name="_xlnm.Criteria" localSheetId="14">RelContasApagar!$T$2:$Y$3</definedName>
    <definedName name="_xlnm.Criteria" localSheetId="15">RelContasAReceber!$T$2:$Y$3</definedName>
    <definedName name="_xlnm.Criteria" localSheetId="13">RelDespesas!$F$2:$G$3</definedName>
    <definedName name="_xlnm.Criteria" localSheetId="1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">CadPericia!$I:$I</definedName>
    <definedName name="SeguradoPenhor">CadPenhor!$G:$G</definedName>
    <definedName name="SeguradoPenhor1">CadPenhor!$H:$H</definedName>
    <definedName name="seguradopericaia">CadPericia!$I:$I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2" r:id="rId25"/>
    <pivotCache cacheId="45" r:id="rId26"/>
    <pivotCache cacheId="177" r:id="rId27"/>
    <pivotCache cacheId="219" r:id="rId28"/>
    <pivotCache cacheId="228" r:id="rId29"/>
  </pivotCaches>
  <extLst>
    <ext xmlns:x14="http://schemas.microsoft.com/office/spreadsheetml/2009/9/main" uri="{876F7934-8845-4945-9796-88D515C7AA90}">
      <x14:pivotCaches>
        <pivotCache cacheId="5" r:id="rId30"/>
      </x14:pivotCaches>
    </ext>
    <ext xmlns:x14="http://schemas.microsoft.com/office/spreadsheetml/2009/9/main" uri="{BBE1A952-AA13-448e-AADC-164F8A28A991}">
      <x14:slicerCaches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" i="23" l="1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18" i="23"/>
  <c r="W18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G3" i="28"/>
  <c r="F3" i="28"/>
  <c r="T3" i="18"/>
  <c r="I3" i="29"/>
  <c r="C5" i="26" s="1"/>
  <c r="Y3" i="28"/>
  <c r="X3" i="28"/>
  <c r="W3" i="28"/>
  <c r="V3" i="28"/>
  <c r="U3" i="28"/>
  <c r="T3" i="28"/>
  <c r="C4" i="26"/>
  <c r="AA3" i="24"/>
  <c r="Z3" i="24"/>
  <c r="AB3" i="24"/>
  <c r="AC3" i="24"/>
  <c r="AD3" i="24"/>
  <c r="AE3" i="24"/>
  <c r="AF3" i="24"/>
  <c r="AG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W3" i="23"/>
  <c r="U3" i="18"/>
  <c r="C3" i="26" l="1"/>
  <c r="C6" i="26" s="1"/>
  <c r="Y3" i="20"/>
  <c r="X3" i="20"/>
  <c r="W3" i="20"/>
  <c r="W3" i="18"/>
  <c r="V3" i="18"/>
  <c r="Y3" i="18"/>
  <c r="X3" i="18"/>
  <c r="D4" i="26" l="1"/>
  <c r="E4" i="26" s="1"/>
</calcChain>
</file>

<file path=xl/sharedStrings.xml><?xml version="1.0" encoding="utf-8"?>
<sst xmlns="http://schemas.openxmlformats.org/spreadsheetml/2006/main" count="735" uniqueCount="322">
  <si>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</si>
  <si>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</si>
  <si>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</si>
  <si>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</si>
  <si>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</si>
  <si>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</si>
  <si>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</si>
  <si>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</si>
  <si>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</si>
  <si>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</si>
  <si>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</si>
  <si>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</si>
  <si>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</si>
  <si>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</si>
  <si>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</si>
  <si>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</si>
  <si>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</si>
  <si>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</si>
  <si>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</si>
  <si>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</si>
  <si>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</si>
  <si>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</si>
  <si>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</si>
  <si>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</si>
  <si>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</si>
  <si>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</si>
  <si>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</si>
  <si>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</si>
  <si>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</si>
  <si>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</si>
  <si>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</si>
  <si>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</si>
  <si>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</si>
  <si>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</si>
  <si>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</si>
  <si>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</si>
  <si>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</si>
  <si>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</si>
  <si>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</si>
  <si>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</si>
  <si>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</si>
  <si>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</si>
  <si>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</si>
  <si>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</si>
  <si>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</si>
  <si>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</si>
  <si>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</si>
  <si>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</si>
  <si>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</si>
  <si>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</si>
  <si>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</si>
  <si>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</si>
  <si>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</si>
  <si>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</si>
  <si>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</si>
  <si>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</si>
  <si>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</si>
  <si>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</si>
  <si>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</si>
  <si>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</si>
  <si>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</si>
  <si>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</si>
  <si>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</si>
  <si>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</si>
  <si>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</si>
  <si>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</si>
  <si>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</si>
  <si>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</si>
  <si>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</si>
  <si>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</si>
  <si>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</si>
  <si>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</si>
  <si>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</si>
  <si>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</si>
  <si>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</si>
  <si>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</si>
  <si>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</si>
  <si>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</si>
  <si>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</si>
  <si>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</si>
  <si>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</si>
  <si>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</si>
  <si>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</si>
  <si>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</si>
  <si>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</si>
  <si>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</si>
  <si>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</si>
  <si>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</si>
  <si>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</si>
  <si>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</si>
  <si>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</si>
  <si>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</si>
  <si>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</si>
  <si>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</si>
  <si>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</si>
  <si>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</si>
  <si>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</si>
  <si>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PASSAGEM ÁERA</t>
  </si>
  <si>
    <t>STATUS</t>
  </si>
  <si>
    <t>Aberto</t>
  </si>
  <si>
    <t>Perito :</t>
  </si>
  <si>
    <t>Seguradora :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</si>
  <si>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</si>
  <si>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</si>
  <si>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</si>
  <si>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</si>
  <si>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</si>
  <si>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</si>
  <si>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</si>
  <si>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</si>
  <si>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</si>
  <si>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</si>
  <si>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</si>
  <si>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</si>
  <si>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</si>
  <si>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</si>
  <si>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</si>
  <si>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</si>
  <si>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</si>
  <si>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</si>
  <si>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</si>
  <si>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</si>
  <si>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</si>
  <si>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</si>
  <si>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</si>
  <si>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</si>
  <si>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</si>
  <si>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</si>
  <si>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</si>
  <si>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</si>
  <si>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</si>
  <si>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</si>
  <si>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</si>
  <si>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</si>
  <si>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</si>
  <si>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</si>
  <si>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</si>
  <si>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</si>
  <si>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</si>
  <si>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</si>
  <si>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</si>
  <si>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</si>
  <si>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</si>
  <si>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</si>
  <si>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</si>
  <si>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</si>
  <si>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</si>
  <si>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</si>
  <si>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</si>
  <si>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</si>
  <si>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</si>
  <si>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</si>
  <si>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</si>
  <si>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</si>
  <si>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</si>
  <si>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</si>
  <si>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</si>
  <si>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</si>
  <si>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</si>
  <si>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</si>
  <si>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</si>
  <si>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</si>
  <si>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</si>
  <si>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</si>
  <si>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</si>
  <si>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</si>
  <si>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</si>
  <si>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</si>
  <si>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</si>
  <si>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</si>
  <si>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</si>
  <si>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</si>
  <si>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</si>
  <si>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</si>
  <si>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</si>
  <si>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</si>
  <si>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</si>
  <si>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</si>
  <si>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</si>
  <si>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</si>
  <si>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</si>
  <si>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</si>
  <si>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</si>
  <si>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</si>
  <si>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</si>
  <si>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</si>
  <si>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</si>
  <si>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</si>
  <si>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</si>
  <si>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</si>
  <si>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</si>
  <si>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</si>
  <si>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</si>
  <si>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</si>
  <si>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</si>
  <si>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</si>
  <si>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</si>
  <si>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</si>
  <si>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</si>
  <si>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</si>
  <si>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</si>
  <si>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</si>
  <si>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</si>
  <si>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</si>
  <si>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</si>
  <si>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</si>
  <si>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</si>
  <si>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</si>
  <si>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</si>
  <si>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</si>
  <si>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</si>
  <si>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</si>
  <si>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</si>
  <si>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</si>
  <si>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</si>
  <si>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</si>
  <si>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</si>
  <si>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</si>
  <si>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</si>
  <si>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</si>
  <si>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</si>
  <si>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</si>
  <si>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</si>
  <si>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</si>
  <si>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</si>
  <si>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</si>
  <si>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</si>
  <si>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</si>
  <si>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</si>
  <si>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</si>
  <si>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</si>
  <si>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</si>
  <si>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</si>
  <si>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</si>
  <si>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</si>
  <si>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</si>
  <si>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</si>
  <si>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</si>
  <si>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</si>
  <si>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</si>
  <si>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</si>
  <si>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</si>
  <si>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</si>
  <si>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</si>
  <si>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</si>
  <si>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</si>
  <si>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</si>
  <si>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</si>
  <si>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</si>
  <si>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</si>
  <si>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</si>
  <si>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</si>
  <si>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</si>
  <si>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</si>
  <si>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</si>
  <si>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</si>
  <si>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</si>
  <si>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</si>
  <si>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</si>
  <si>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</si>
  <si>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</si>
  <si>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</si>
  <si>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</si>
  <si>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</si>
  <si>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</si>
  <si>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</si>
  <si>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</si>
  <si>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</si>
  <si>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</si>
  <si>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</si>
  <si>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</si>
  <si>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</si>
  <si>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</si>
  <si>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</si>
  <si>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</si>
  <si>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</si>
  <si>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</si>
  <si>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</si>
  <si>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</si>
  <si>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</si>
  <si>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</si>
  <si>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</si>
  <si>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</si>
  <si>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</si>
  <si>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</si>
  <si>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</si>
  <si>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</si>
  <si>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 xml:space="preserve">AGROBRASIL - (SP)                    </t>
  </si>
  <si>
    <t>Liquidado</t>
  </si>
  <si>
    <t>SALDO</t>
  </si>
  <si>
    <t>Obs</t>
  </si>
  <si>
    <t>Total</t>
  </si>
  <si>
    <t>Saldo</t>
  </si>
  <si>
    <t>Seguradora</t>
  </si>
  <si>
    <t>Tabela Total de recebimentos</t>
  </si>
  <si>
    <t>Parcial</t>
  </si>
  <si>
    <t>Peritos</t>
  </si>
  <si>
    <t>Total por Peritos</t>
  </si>
  <si>
    <t>até</t>
  </si>
  <si>
    <t>Tipo:</t>
  </si>
  <si>
    <t>Período:</t>
  </si>
  <si>
    <t>Tabela Total de pagamentos</t>
  </si>
  <si>
    <t>Perito</t>
  </si>
  <si>
    <t>Resultado</t>
  </si>
  <si>
    <t>VALOR</t>
  </si>
  <si>
    <t>DESCRIÇÃO</t>
  </si>
  <si>
    <t>FORNECEDOR</t>
  </si>
  <si>
    <t>Pagamento de pericias</t>
  </si>
  <si>
    <t>Despesas escritório</t>
  </si>
  <si>
    <t xml:space="preserve">Valor a Receber </t>
  </si>
  <si>
    <t>Relatório de Despesas</t>
  </si>
  <si>
    <t>DT AVISO</t>
  </si>
  <si>
    <t>DT ENCERRAMENTO</t>
  </si>
  <si>
    <t>ID</t>
  </si>
  <si>
    <t>Trigo</t>
  </si>
  <si>
    <t>ID ORIGEM</t>
  </si>
  <si>
    <t>25/03/2021</t>
  </si>
  <si>
    <t>TESTE</t>
  </si>
  <si>
    <t>MARCILIO</t>
  </si>
  <si>
    <t>Natanael</t>
  </si>
  <si>
    <t>raio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</si>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</sst>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5" borderId="0" applyNumberFormat="0" applyBorder="0" applyAlignment="0" applyProtection="0"/>
  </cellStyleXfs>
  <cellXfs count="84">
    <xf numFmtId="0" fontId="0" fillId="0" borderId="0" xfId="0"/>
    <xf numFmtId="14" fontId="0" fillId="0" borderId="0" xfId="0" applyNumberForma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0" fontId="6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4" xfId="0" applyNumberFormat="1" applyFont="1" applyFill="1" applyBorder="1"/>
    <xf numFmtId="49" fontId="0" fillId="0" borderId="4" xfId="0" applyNumberFormat="1" applyFont="1" applyBorder="1"/>
    <xf numFmtId="49" fontId="0" fillId="4" borderId="5" xfId="0" applyNumberFormat="1" applyFont="1" applyFill="1" applyBorder="1"/>
    <xf numFmtId="49" fontId="0" fillId="0" borderId="5" xfId="0" applyNumberFormat="1" applyFont="1" applyBorder="1"/>
    <xf numFmtId="0" fontId="0" fillId="0" borderId="4" xfId="0" applyFont="1" applyBorder="1"/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7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3" borderId="0" xfId="1" applyFont="1" applyFill="1" applyBorder="1" applyAlignment="1">
      <alignment horizontal="center"/>
    </xf>
    <xf numFmtId="44" fontId="5" fillId="3" borderId="0" xfId="1" applyFont="1" applyFill="1" applyBorder="1"/>
    <xf numFmtId="14" fontId="0" fillId="0" borderId="8" xfId="0" applyNumberFormat="1" applyBorder="1"/>
    <xf numFmtId="0" fontId="4" fillId="0" borderId="3" xfId="0" applyFont="1" applyBorder="1" applyAlignment="1"/>
    <xf numFmtId="44" fontId="5" fillId="3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1" fillId="3" borderId="0" xfId="1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9" fontId="5" fillId="0" borderId="0" xfId="3" applyFont="1"/>
    <xf numFmtId="9" fontId="5" fillId="0" borderId="0" xfId="0" applyNumberFormat="1" applyFont="1"/>
    <xf numFmtId="44" fontId="12" fillId="5" borderId="0" xfId="4" applyNumberFormat="1" applyFont="1"/>
    <xf numFmtId="44" fontId="11" fillId="5" borderId="0" xfId="4" applyNumberFormat="1" applyFont="1"/>
    <xf numFmtId="44" fontId="0" fillId="0" borderId="0" xfId="0" applyNumberFormat="1"/>
    <xf numFmtId="14" fontId="0" fillId="0" borderId="0" xfId="0" applyNumberFormat="1" applyBorder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Border="1"/>
    <xf numFmtId="7" fontId="0" fillId="0" borderId="0" xfId="0" applyNumberFormat="1" applyBorder="1"/>
    <xf numFmtId="44" fontId="0" fillId="0" borderId="0" xfId="1" applyFont="1" applyBorder="1"/>
    <xf numFmtId="44" fontId="0" fillId="4" borderId="7" xfId="1" applyFont="1" applyFill="1" applyBorder="1"/>
    <xf numFmtId="14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44" fontId="0" fillId="0" borderId="0" xfId="1" applyFont="1" applyAlignment="1">
      <alignment horizontal="right"/>
    </xf>
    <xf numFmtId="14" fontId="0" fillId="0" borderId="0" xfId="1" applyNumberFormat="1" applyFont="1" applyAlignment="1">
      <alignment horizontal="right"/>
    </xf>
    <xf numFmtId="7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2" fillId="5" borderId="0" xfId="4" applyFont="1" applyAlignment="1">
      <alignment horizontal="left"/>
    </xf>
    <xf numFmtId="0" fontId="11" fillId="5" borderId="0" xfId="4" applyFont="1" applyAlignment="1">
      <alignment horizontal="center"/>
    </xf>
    <xf numFmtId="0" fontId="1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</cellXfs>
  <cellStyles count="5">
    <cellStyle name="60% - Ênfase4" xfId="4" builtinId="44"/>
    <cellStyle name="Moeda" xfId="1" builtinId="4"/>
    <cellStyle name="Moeda 2" xfId="2" xr:uid="{A6118882-E3ED-4E75-BED1-0DF76B4E8424}"/>
    <cellStyle name="Normal" xfId="0" builtinId="0"/>
    <cellStyle name="Porcentagem" xfId="3" builtinId="5"/>
  </cellStyles>
  <dxfs count="99"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* #,##0.00_-;\-&quot;R$&quot;* #,##0.00_-;_-&quot;R$&quot;* &quot;-&quot;??_-;_-@_-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07/relationships/slicerCache" Target="slicerCaches/slicerCache9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4.xml"/><Relationship Id="rId42" Type="http://schemas.microsoft.com/office/2007/relationships/slicerCache" Target="slicerCaches/slicerCache12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microsoft.com/office/2007/relationships/slicerCache" Target="slicerCaches/slicerCache7.xml"/><Relationship Id="rId40" Type="http://schemas.microsoft.com/office/2007/relationships/slicerCache" Target="slicerCaches/slicerCache1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microsoft.com/office/2007/relationships/slicerCache" Target="slicerCaches/slicerCache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microsoft.com/office/2007/relationships/slicerCache" Target="slicerCaches/slicerCache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07/relationships/slicerCache" Target="slicerCaches/slicerCache3.xml"/><Relationship Id="rId38" Type="http://schemas.microsoft.com/office/2007/relationships/slicerCache" Target="slicerCaches/slicerCache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DashResultado!$A$4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0.37897853441894891</c:v>
                </c:pt>
                <c:pt idx="1">
                  <c:v>0.62102146558105109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DashResultado!$A$3:$A$5</c:f>
              <c:strCache>
                <c:ptCount val="3"/>
                <c:pt idx="0">
                  <c:v>Valor a Receber </c:v>
                </c:pt>
                <c:pt idx="1">
                  <c:v>Pagamento de pericias</c:v>
                </c:pt>
                <c:pt idx="2">
                  <c:v>Despesas escritório</c:v>
                </c:pt>
              </c:strCache>
            </c:strRef>
          </c:cat>
          <c:val>
            <c:numRef>
              <c:f>DashResultado!$C$3:$C$5</c:f>
              <c:numCache>
                <c:formatCode>_("R$"* #,##0.00_);_("R$"* \(#,##0.00\);_("R$"* "-"??_);_(@_)</c:formatCode>
                <c:ptCount val="3"/>
                <c:pt idx="0">
                  <c:v>810.6</c:v>
                </c:pt>
                <c:pt idx="1">
                  <c:v>307.2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overlap val="-58"/>
        <c:axId val="650534200"/>
        <c:axId val="6505345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gradFill flip="none" rotWithShape="1">
                    <a:gsLst>
                      <a:gs pos="0">
                        <a:schemeClr val="accent1"/>
                      </a:gs>
                      <a:gs pos="75000">
                        <a:schemeClr val="accent1">
                          <a:lumMod val="60000"/>
                          <a:lumOff val="40000"/>
                        </a:schemeClr>
                      </a:gs>
                      <a:gs pos="51000">
                        <a:schemeClr val="accent1">
                          <a:alpha val="75000"/>
                        </a:schemeClr>
                      </a:gs>
                      <a:gs pos="100000">
                        <a:schemeClr val="accent1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10800000" scaled="1"/>
                    <a:tileRect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DashResultado!$A$3:$A$5</c15:sqref>
                        </c15:formulaRef>
                      </c:ext>
                    </c:extLst>
                    <c:strCache>
                      <c:ptCount val="3"/>
                      <c:pt idx="0">
                        <c:v>Valor a Receber </c:v>
                      </c:pt>
                      <c:pt idx="1">
                        <c:v>Pagamento de pericias</c:v>
                      </c:pt>
                      <c:pt idx="2">
                        <c:v>Despesas escritório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DashResultado!$B$3:$B$5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558-45BA-858F-7582AB984561}"/>
                  </c:ext>
                </c:extLst>
              </c15:ser>
            </c15:filteredBarSeries>
          </c:ext>
        </c:extLst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por seguradora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503</c:v>
                </c:pt>
                <c:pt idx="1">
                  <c:v>608.6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por seguradora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202</c:v>
                </c:pt>
                <c:pt idx="1">
                  <c:v>608.6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1.2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TbDinamicaApagar!$AG$2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TbDinamicaApagar!$AG$3:$AG$26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206.2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302</c:v>
                </c:pt>
                <c:pt idx="1">
                  <c:v>206.2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2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114301</xdr:colOff>
      <xdr:row>3</xdr:row>
      <xdr:rowOff>57150</xdr:rowOff>
    </xdr:from>
    <xdr:to>
      <xdr:col>20</xdr:col>
      <xdr:colOff>438150</xdr:colOff>
      <xdr:row>24</xdr:row>
      <xdr:rowOff>85725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14301" y="628650"/>
          <a:ext cx="12515849" cy="402907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295275</xdr:colOff>
      <xdr:row>3</xdr:row>
      <xdr:rowOff>141288</xdr:rowOff>
    </xdr:from>
    <xdr:to>
      <xdr:col>4</xdr:col>
      <xdr:colOff>514350</xdr:colOff>
      <xdr:row>23</xdr:row>
      <xdr:rowOff>171450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1F0FDC5-8C9E-4DEB-A6DB-80986D1267B7}"/>
            </a:ext>
          </a:extLst>
        </xdr:cNvPr>
        <xdr:cNvGrpSpPr/>
      </xdr:nvGrpSpPr>
      <xdr:grpSpPr>
        <a:xfrm>
          <a:off x="295275" y="712788"/>
          <a:ext cx="2657475" cy="3840162"/>
          <a:chOff x="295275" y="712788"/>
          <a:chExt cx="2657475" cy="3840162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A69B5BFD-789B-46EB-9B1E-C0300D6B4B47}"/>
              </a:ext>
            </a:extLst>
          </xdr:cNvPr>
          <xdr:cNvSpPr/>
        </xdr:nvSpPr>
        <xdr:spPr>
          <a:xfrm>
            <a:off x="295275" y="712788"/>
            <a:ext cx="2657475" cy="384016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Cadastros</a:t>
            </a:r>
          </a:p>
          <a:p>
            <a:pPr algn="ctr"/>
            <a:endParaRPr lang="pt-BR" sz="1600" b="1"/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455CF792-FB14-4BCE-B22D-0E562E845DEC}"/>
              </a:ext>
            </a:extLst>
          </xdr:cNvPr>
          <xdr:cNvGrpSpPr/>
        </xdr:nvGrpSpPr>
        <xdr:grpSpPr>
          <a:xfrm>
            <a:off x="304799" y="1216125"/>
            <a:ext cx="2574000" cy="600472"/>
            <a:chOff x="314325" y="1171575"/>
            <a:chExt cx="2571751" cy="647700"/>
          </a:xfrm>
        </xdr:grpSpPr>
        <xdr:sp macro="[0]!ChamarCadPericia" textlink="">
          <xdr:nvSpPr>
            <xdr:cNvPr id="27" name="Retângulo: Cantos Arredondados 26">
              <a:extLst>
                <a:ext uri="{FF2B5EF4-FFF2-40B4-BE49-F238E27FC236}">
                  <a16:creationId xmlns:a16="http://schemas.microsoft.com/office/drawing/2014/main" id="{4F2D0FDD-35CE-4922-9C64-137429E8B9B1}"/>
                </a:ext>
              </a:extLst>
            </xdr:cNvPr>
            <xdr:cNvSpPr/>
          </xdr:nvSpPr>
          <xdr:spPr>
            <a:xfrm>
              <a:off x="352426" y="11715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       Cadastro</a:t>
              </a:r>
              <a:r>
                <a:rPr lang="pt-BR" sz="1200" b="1" baseline="0"/>
                <a:t> de Pericias Agrícolas</a:t>
              </a:r>
              <a:endParaRPr lang="pt-BR" sz="1200" b="1"/>
            </a:p>
          </xdr:txBody>
        </xdr:sp>
        <xdr:pic>
          <xdr:nvPicPr>
            <xdr:cNvPr id="28" name="Imagem 27">
              <a:extLst>
                <a:ext uri="{FF2B5EF4-FFF2-40B4-BE49-F238E27FC236}">
                  <a16:creationId xmlns:a16="http://schemas.microsoft.com/office/drawing/2014/main" id="{F5A805E8-0646-4677-A86F-3590C95475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4325" y="12001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ADBE0DA9-3110-4A58-92E8-6216EABD1714}"/>
              </a:ext>
            </a:extLst>
          </xdr:cNvPr>
          <xdr:cNvGrpSpPr/>
        </xdr:nvGrpSpPr>
        <xdr:grpSpPr>
          <a:xfrm>
            <a:off x="295275" y="2505373"/>
            <a:ext cx="2612099" cy="600472"/>
            <a:chOff x="285750" y="2562225"/>
            <a:chExt cx="2612099" cy="647700"/>
          </a:xfrm>
        </xdr:grpSpPr>
        <xdr:sp macro="[0]!ChamarCadSeguradora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441E12AC-E5B5-449D-AC54-B32148DF1F12}"/>
                </a:ext>
              </a:extLst>
            </xdr:cNvPr>
            <xdr:cNvSpPr/>
          </xdr:nvSpPr>
          <xdr:spPr>
            <a:xfrm>
              <a:off x="323849" y="2562225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Cadastro de seguradora</a:t>
              </a:r>
            </a:p>
          </xdr:txBody>
        </xdr:sp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7C3DBEE1-E39D-4A7E-9161-020FC5A8C6D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5750" y="2600325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A4953D31-624A-4BD3-8EB8-12D36062ED64}"/>
              </a:ext>
            </a:extLst>
          </xdr:cNvPr>
          <xdr:cNvGrpSpPr/>
        </xdr:nvGrpSpPr>
        <xdr:grpSpPr>
          <a:xfrm>
            <a:off x="295276" y="1860749"/>
            <a:ext cx="2612100" cy="618133"/>
            <a:chOff x="295276" y="1866900"/>
            <a:chExt cx="2612100" cy="666750"/>
          </a:xfrm>
        </xdr:grpSpPr>
        <xdr:sp macro="[0]!ChamarCadPenhor" textlink="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BCBC5217-8031-4DA6-AC26-76D5311E1B72}"/>
                </a:ext>
              </a:extLst>
            </xdr:cNvPr>
            <xdr:cNvSpPr/>
          </xdr:nvSpPr>
          <xdr:spPr>
            <a:xfrm>
              <a:off x="333376" y="1866900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Cadastro</a:t>
              </a:r>
              <a:r>
                <a:rPr lang="pt-BR" sz="1200" b="1" baseline="0"/>
                <a:t> de Penhor Rural</a:t>
              </a:r>
              <a:endParaRPr lang="pt-BR" sz="1200" b="1"/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BB61155D-9E13-4D62-BCE6-9878B20D35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6" y="19240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4948D8E6-7798-4936-9AB8-0D35D5A68B06}"/>
              </a:ext>
            </a:extLst>
          </xdr:cNvPr>
          <xdr:cNvGrpSpPr/>
        </xdr:nvGrpSpPr>
        <xdr:grpSpPr>
          <a:xfrm>
            <a:off x="333374" y="3149998"/>
            <a:ext cx="2574000" cy="600472"/>
            <a:chOff x="295275" y="3257550"/>
            <a:chExt cx="2552701" cy="647700"/>
          </a:xfrm>
        </xdr:grpSpPr>
        <xdr:sp macro="[0]!ChamarCadPerito" textlink="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3A8EC8ED-00ED-44E9-9A79-A200629BF9E4}"/>
                </a:ext>
              </a:extLst>
            </xdr:cNvPr>
            <xdr:cNvSpPr/>
          </xdr:nvSpPr>
          <xdr:spPr>
            <a:xfrm>
              <a:off x="314326" y="3257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Cadastro de Peritos</a:t>
              </a:r>
            </a:p>
          </xdr:txBody>
        </xdr:sp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id="{F37B41FE-69F7-4CCB-85BA-D7E1742EF8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5" y="3267075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10</xdr:col>
      <xdr:colOff>393222</xdr:colOff>
      <xdr:row>3</xdr:row>
      <xdr:rowOff>169168</xdr:rowOff>
    </xdr:from>
    <xdr:to>
      <xdr:col>15</xdr:col>
      <xdr:colOff>19050</xdr:colOff>
      <xdr:row>23</xdr:row>
      <xdr:rowOff>171450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B03C0163-D6CA-462F-B305-D74D46282EDF}"/>
            </a:ext>
          </a:extLst>
        </xdr:cNvPr>
        <xdr:cNvGrpSpPr/>
      </xdr:nvGrpSpPr>
      <xdr:grpSpPr>
        <a:xfrm>
          <a:off x="6489222" y="740668"/>
          <a:ext cx="2673828" cy="3812282"/>
          <a:chOff x="6489222" y="740668"/>
          <a:chExt cx="2673828" cy="3812282"/>
        </a:xfrm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745A439A-B079-4BEE-896F-68EFF529C7D6}"/>
              </a:ext>
            </a:extLst>
          </xdr:cNvPr>
          <xdr:cNvSpPr/>
        </xdr:nvSpPr>
        <xdr:spPr>
          <a:xfrm>
            <a:off x="6505575" y="740668"/>
            <a:ext cx="2657475" cy="381228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Relatórios</a:t>
            </a:r>
          </a:p>
          <a:p>
            <a:pPr algn="ctr"/>
            <a:endParaRPr lang="pt-BR" sz="1600" b="1"/>
          </a:p>
        </xdr:txBody>
      </xdr: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DE517487-781E-4225-A04B-F9CBFC7983B2}"/>
              </a:ext>
            </a:extLst>
          </xdr:cNvPr>
          <xdr:cNvGrpSpPr/>
        </xdr:nvGrpSpPr>
        <xdr:grpSpPr>
          <a:xfrm>
            <a:off x="6534150" y="1235174"/>
            <a:ext cx="2543175" cy="600472"/>
            <a:chOff x="6429375" y="1400175"/>
            <a:chExt cx="2543175" cy="647700"/>
          </a:xfrm>
        </xdr:grpSpPr>
        <xdr:sp macro="[0]!ChamaRelContasApagar" textlink="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32948D41-5C56-4455-A45E-627DEB007598}"/>
                </a:ext>
              </a:extLst>
            </xdr:cNvPr>
            <xdr:cNvSpPr/>
          </xdr:nvSpPr>
          <xdr:spPr>
            <a:xfrm>
              <a:off x="6438900" y="14001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81" name="Imagem 80">
              <a:extLst>
                <a:ext uri="{FF2B5EF4-FFF2-40B4-BE49-F238E27FC236}">
                  <a16:creationId xmlns:a16="http://schemas.microsoft.com/office/drawing/2014/main" id="{8D77609E-1345-4E71-8C6B-EC11440B40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29375" y="1447799"/>
              <a:ext cx="581025" cy="581025"/>
            </a:xfrm>
            <a:prstGeom prst="rect">
              <a:avLst/>
            </a:prstGeom>
          </xdr:spPr>
        </xdr:pic>
      </xdr:grpSp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9AA917B7-D837-4FDD-8717-53C012E1F8A7}"/>
              </a:ext>
            </a:extLst>
          </xdr:cNvPr>
          <xdr:cNvGrpSpPr/>
        </xdr:nvGrpSpPr>
        <xdr:grpSpPr>
          <a:xfrm>
            <a:off x="6553200" y="1879799"/>
            <a:ext cx="2533650" cy="600472"/>
            <a:chOff x="6467475" y="3495675"/>
            <a:chExt cx="2533650" cy="647700"/>
          </a:xfrm>
        </xdr:grpSpPr>
        <xdr:sp macro="[0]!ChamarContarReceber" textlink="">
          <xdr:nvSpPr>
            <xdr:cNvPr id="79" name="Retângulo: Cantos Arredondados 78">
              <a:extLst>
                <a:ext uri="{FF2B5EF4-FFF2-40B4-BE49-F238E27FC236}">
                  <a16:creationId xmlns:a16="http://schemas.microsoft.com/office/drawing/2014/main" id="{F90C1E6F-558C-41C1-BC0F-180EEF6C27F8}"/>
                </a:ext>
              </a:extLst>
            </xdr:cNvPr>
            <xdr:cNvSpPr/>
          </xdr:nvSpPr>
          <xdr:spPr>
            <a:xfrm>
              <a:off x="6467475" y="34956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</a:t>
              </a:r>
            </a:p>
          </xdr:txBody>
        </xdr:sp>
        <xdr:pic>
          <xdr:nvPicPr>
            <xdr:cNvPr id="83" name="Imagem 82">
              <a:extLst>
                <a:ext uri="{FF2B5EF4-FFF2-40B4-BE49-F238E27FC236}">
                  <a16:creationId xmlns:a16="http://schemas.microsoft.com/office/drawing/2014/main" id="{BE5C761B-4CDD-45D7-916F-39EC01D28C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72250" y="3495675"/>
              <a:ext cx="628650" cy="628650"/>
            </a:xfrm>
            <a:prstGeom prst="rect">
              <a:avLst/>
            </a:prstGeom>
          </xdr:spPr>
        </xdr:pic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6CCC4EAD-FCFC-49CF-A3A3-536EC2B65561}"/>
              </a:ext>
            </a:extLst>
          </xdr:cNvPr>
          <xdr:cNvGrpSpPr/>
        </xdr:nvGrpSpPr>
        <xdr:grpSpPr>
          <a:xfrm>
            <a:off x="6489222" y="2492574"/>
            <a:ext cx="2597628" cy="671116"/>
            <a:chOff x="6489222" y="2492574"/>
            <a:chExt cx="2597628" cy="671116"/>
          </a:xfrm>
        </xdr:grpSpPr>
        <xdr:sp macro="[0]!ChamaVistoriaPendentes" textlink="">
          <xdr:nvSpPr>
            <xdr:cNvPr id="51" name="Retângulo: Cantos Arredondados 50">
              <a:extLst>
                <a:ext uri="{FF2B5EF4-FFF2-40B4-BE49-F238E27FC236}">
                  <a16:creationId xmlns:a16="http://schemas.microsoft.com/office/drawing/2014/main" id="{0C8E3579-0430-4158-9AD9-7205F3872BEC}"/>
                </a:ext>
              </a:extLst>
            </xdr:cNvPr>
            <xdr:cNvSpPr/>
          </xdr:nvSpPr>
          <xdr:spPr>
            <a:xfrm>
              <a:off x="6553199" y="2527896"/>
              <a:ext cx="2533651" cy="600472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Pendência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Vistoria</a:t>
              </a:r>
              <a:endPara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7F6D8ADE-1A68-4527-B966-795D2182E1D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89222" y="2492574"/>
              <a:ext cx="788766" cy="671116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15</xdr:col>
      <xdr:colOff>428625</xdr:colOff>
      <xdr:row>4</xdr:row>
      <xdr:rowOff>10021</xdr:rowOff>
    </xdr:from>
    <xdr:to>
      <xdr:col>20</xdr:col>
      <xdr:colOff>209550</xdr:colOff>
      <xdr:row>23</xdr:row>
      <xdr:rowOff>171450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04855AE-B170-4EBE-8089-8E704AB5F90D}"/>
            </a:ext>
          </a:extLst>
        </xdr:cNvPr>
        <xdr:cNvGrpSpPr/>
      </xdr:nvGrpSpPr>
      <xdr:grpSpPr>
        <a:xfrm>
          <a:off x="9572625" y="772021"/>
          <a:ext cx="2828925" cy="3780929"/>
          <a:chOff x="9572625" y="772021"/>
          <a:chExt cx="2828925" cy="3780929"/>
        </a:xfrm>
      </xdr:grpSpPr>
      <xdr:sp macro="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11CD09C3-2702-46DD-B79B-F32197FA1E9E}"/>
              </a:ext>
            </a:extLst>
          </xdr:cNvPr>
          <xdr:cNvSpPr/>
        </xdr:nvSpPr>
        <xdr:spPr>
          <a:xfrm>
            <a:off x="9572625" y="772021"/>
            <a:ext cx="2828925" cy="3780929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Demonstrativos</a:t>
            </a:r>
          </a:p>
          <a:p>
            <a:pPr algn="ctr"/>
            <a:endParaRPr lang="pt-BR" sz="1600" b="1"/>
          </a:p>
        </xdr:txBody>
      </xdr:sp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A72BDFC8-1F4A-4DA0-ABE9-949EE0396093}"/>
              </a:ext>
            </a:extLst>
          </xdr:cNvPr>
          <xdr:cNvGrpSpPr/>
        </xdr:nvGrpSpPr>
        <xdr:grpSpPr>
          <a:xfrm>
            <a:off x="9614992" y="1866305"/>
            <a:ext cx="2760680" cy="715269"/>
            <a:chOff x="9134475" y="2066925"/>
            <a:chExt cx="2533650" cy="771526"/>
          </a:xfrm>
        </xdr:grpSpPr>
        <xdr:sp macro="[0]!DashboardReceber" textlink="">
          <xdr:nvSpPr>
            <xdr:cNvPr id="63" name="Retângulo: Cantos Arredondados 62">
              <a:extLst>
                <a:ext uri="{FF2B5EF4-FFF2-40B4-BE49-F238E27FC236}">
                  <a16:creationId xmlns:a16="http://schemas.microsoft.com/office/drawing/2014/main" id="{38F7F601-3380-462B-A2A0-9B7AD138E6D1}"/>
                </a:ext>
              </a:extLst>
            </xdr:cNvPr>
            <xdr:cNvSpPr/>
          </xdr:nvSpPr>
          <xdr:spPr>
            <a:xfrm>
              <a:off x="9134475" y="2114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Recebimentos</a:t>
              </a:r>
            </a:p>
          </xdr:txBody>
        </xdr:sp>
        <xdr:pic macro="[0]!DashboardReceber">
          <xdr:nvPicPr>
            <xdr:cNvPr id="68" name="Imagem 67">
              <a:extLst>
                <a:ext uri="{FF2B5EF4-FFF2-40B4-BE49-F238E27FC236}">
                  <a16:creationId xmlns:a16="http://schemas.microsoft.com/office/drawing/2014/main" id="{57E18313-068B-4E47-A71A-492D21E1DA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172575" y="2066925"/>
              <a:ext cx="790575" cy="771526"/>
            </a:xfrm>
            <a:prstGeom prst="rect">
              <a:avLst/>
            </a:prstGeom>
          </xdr:spPr>
        </xdr:pic>
      </xdr:grpSp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BC0601C4-A8B2-49B4-A9B3-D4134C226D8A}"/>
              </a:ext>
            </a:extLst>
          </xdr:cNvPr>
          <xdr:cNvGrpSpPr/>
        </xdr:nvGrpSpPr>
        <xdr:grpSpPr>
          <a:xfrm>
            <a:off x="9605467" y="1248171"/>
            <a:ext cx="2760680" cy="662285"/>
            <a:chOff x="9134475" y="1400174"/>
            <a:chExt cx="2533650" cy="714375"/>
          </a:xfrm>
        </xdr:grpSpPr>
        <xdr:sp macro="[0]!DashboardApagar" textlink="">
          <xdr:nvSpPr>
            <xdr:cNvPr id="60" name="Retângulo: Cantos Arredondados 59">
              <a:extLst>
                <a:ext uri="{FF2B5EF4-FFF2-40B4-BE49-F238E27FC236}">
                  <a16:creationId xmlns:a16="http://schemas.microsoft.com/office/drawing/2014/main" id="{F6D63C3D-AD8D-4FAF-9CB5-908BF4EC079D}"/>
                </a:ext>
              </a:extLst>
            </xdr:cNvPr>
            <xdr:cNvSpPr/>
          </xdr:nvSpPr>
          <xdr:spPr>
            <a:xfrm>
              <a:off x="9134475" y="140970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65" name="Imagem 64">
              <a:extLst>
                <a:ext uri="{FF2B5EF4-FFF2-40B4-BE49-F238E27FC236}">
                  <a16:creationId xmlns:a16="http://schemas.microsoft.com/office/drawing/2014/main" id="{08EAC8F3-124E-4ACD-9CD3-F7487F6287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210675" y="1400174"/>
              <a:ext cx="714375" cy="714375"/>
            </a:xfrm>
            <a:prstGeom prst="rect">
              <a:avLst/>
            </a:prstGeom>
          </xdr:spPr>
        </xdr:pic>
      </xdr:grp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127AF5E9-AF00-4612-8AB3-8F83A038C12C}"/>
              </a:ext>
            </a:extLst>
          </xdr:cNvPr>
          <xdr:cNvGrpSpPr/>
        </xdr:nvGrpSpPr>
        <xdr:grpSpPr>
          <a:xfrm>
            <a:off x="9601201" y="2562225"/>
            <a:ext cx="2761200" cy="647700"/>
            <a:chOff x="8972551" y="2609850"/>
            <a:chExt cx="2761200" cy="716400"/>
          </a:xfrm>
        </xdr:grpSpPr>
        <xdr:sp macro="[0]!ChamarResultado" textlink="">
          <xdr:nvSpPr>
            <xdr:cNvPr id="54" name="Retângulo: Cantos Arredondados 53">
              <a:extLst>
                <a:ext uri="{FF2B5EF4-FFF2-40B4-BE49-F238E27FC236}">
                  <a16:creationId xmlns:a16="http://schemas.microsoft.com/office/drawing/2014/main" id="{08DA5F62-7356-4EA2-A866-26B172D22EA4}"/>
                </a:ext>
              </a:extLst>
            </xdr:cNvPr>
            <xdr:cNvSpPr/>
          </xdr:nvSpPr>
          <xdr:spPr>
            <a:xfrm>
              <a:off x="8972551" y="2609850"/>
              <a:ext cx="2761200" cy="7164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Resultado</a:t>
              </a:r>
            </a:p>
          </xdr:txBody>
        </xdr:sp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8E0AEDD5-3056-4105-8B5C-4EB99DC854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86850" y="2638425"/>
              <a:ext cx="657225" cy="6572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323850</xdr:colOff>
      <xdr:row>3</xdr:row>
      <xdr:rowOff>149423</xdr:rowOff>
    </xdr:from>
    <xdr:to>
      <xdr:col>9</xdr:col>
      <xdr:colOff>542925</xdr:colOff>
      <xdr:row>24</xdr:row>
      <xdr:rowOff>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371850" y="720923"/>
          <a:ext cx="2657475" cy="38510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390526</xdr:colOff>
      <xdr:row>9</xdr:row>
      <xdr:rowOff>145554</xdr:rowOff>
    </xdr:from>
    <xdr:to>
      <xdr:col>9</xdr:col>
      <xdr:colOff>526126</xdr:colOff>
      <xdr:row>12</xdr:row>
      <xdr:rowOff>174526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438526" y="1860054"/>
          <a:ext cx="2574000" cy="600472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381001</xdr:colOff>
      <xdr:row>13</xdr:row>
      <xdr:rowOff>19347</xdr:rowOff>
    </xdr:from>
    <xdr:to>
      <xdr:col>9</xdr:col>
      <xdr:colOff>516601</xdr:colOff>
      <xdr:row>16</xdr:row>
      <xdr:rowOff>48319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429001" y="2495847"/>
          <a:ext cx="2574000" cy="600472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371476</xdr:colOff>
      <xdr:row>6</xdr:row>
      <xdr:rowOff>63599</xdr:rowOff>
    </xdr:from>
    <xdr:to>
      <xdr:col>9</xdr:col>
      <xdr:colOff>507076</xdr:colOff>
      <xdr:row>9</xdr:row>
      <xdr:rowOff>92571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419476" y="1206599"/>
          <a:ext cx="2574000" cy="600472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16</xdr:row>
      <xdr:rowOff>83641</xdr:rowOff>
    </xdr:from>
    <xdr:to>
      <xdr:col>9</xdr:col>
      <xdr:colOff>507075</xdr:colOff>
      <xdr:row>19</xdr:row>
      <xdr:rowOff>112613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419475" y="3131641"/>
          <a:ext cx="2574000" cy="600472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352425</xdr:colOff>
      <xdr:row>19</xdr:row>
      <xdr:rowOff>140791</xdr:rowOff>
    </xdr:from>
    <xdr:to>
      <xdr:col>9</xdr:col>
      <xdr:colOff>488025</xdr:colOff>
      <xdr:row>22</xdr:row>
      <xdr:rowOff>169763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400425" y="3760291"/>
          <a:ext cx="2574000" cy="600472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9</xdr:row>
      <xdr:rowOff>152400</xdr:rowOff>
    </xdr:from>
    <xdr:to>
      <xdr:col>3</xdr:col>
      <xdr:colOff>104775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23</xdr:row>
      <xdr:rowOff>19051</xdr:rowOff>
    </xdr:from>
    <xdr:to>
      <xdr:col>0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9</xdr:row>
      <xdr:rowOff>152400</xdr:rowOff>
    </xdr:from>
    <xdr:to>
      <xdr:col>0</xdr:col>
      <xdr:colOff>95250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23</xdr:row>
      <xdr:rowOff>19051</xdr:rowOff>
    </xdr:from>
    <xdr:to>
      <xdr:col>3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17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8</xdr:row>
      <xdr:rowOff>28575</xdr:rowOff>
    </xdr:from>
    <xdr:to>
      <xdr:col>15</xdr:col>
      <xdr:colOff>180975</xdr:colOff>
      <xdr:row>10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1</xdr:row>
      <xdr:rowOff>23812</xdr:rowOff>
    </xdr:from>
    <xdr:to>
      <xdr:col>10</xdr:col>
      <xdr:colOff>447675</xdr:colOff>
      <xdr:row>15</xdr:row>
      <xdr:rowOff>52387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104775</xdr:colOff>
      <xdr:row>8</xdr:row>
      <xdr:rowOff>152400</xdr:rowOff>
    </xdr:from>
    <xdr:to>
      <xdr:col>6</xdr:col>
      <xdr:colOff>104775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19051</xdr:rowOff>
    </xdr:from>
    <xdr:to>
      <xdr:col>3</xdr:col>
      <xdr:colOff>104775</xdr:colOff>
      <xdr:row>28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2437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8</xdr:row>
      <xdr:rowOff>152400</xdr:rowOff>
    </xdr:from>
    <xdr:to>
      <xdr:col>3</xdr:col>
      <xdr:colOff>95250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22</xdr:row>
      <xdr:rowOff>19051</xdr:rowOff>
    </xdr:from>
    <xdr:to>
      <xdr:col>6</xdr:col>
      <xdr:colOff>104775</xdr:colOff>
      <xdr:row>28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45339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180974</xdr:colOff>
      <xdr:row>1</xdr:row>
      <xdr:rowOff>76198</xdr:rowOff>
    </xdr:from>
    <xdr:to>
      <xdr:col>9</xdr:col>
      <xdr:colOff>332174</xdr:colOff>
      <xdr:row>7</xdr:row>
      <xdr:rowOff>3673</xdr:rowOff>
    </xdr:to>
    <xdr:sp macro="" textlink="TbDinamicaReceber!X18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38574" y="58102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t>Valor a Receber</a:t>
          </a:r>
          <a:fld id="{D270C1F9-43C2-4EEB-A70B-1D85E1528E30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R$1.400,00 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123825</xdr:colOff>
      <xdr:row>8</xdr:row>
      <xdr:rowOff>171450</xdr:rowOff>
    </xdr:from>
    <xdr:to>
      <xdr:col>3</xdr:col>
      <xdr:colOff>123825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2009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28575</xdr:rowOff>
    </xdr:from>
    <xdr:to>
      <xdr:col>6</xdr:col>
      <xdr:colOff>152400</xdr:colOff>
      <xdr:row>28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54342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123825</xdr:colOff>
      <xdr:row>22</xdr:row>
      <xdr:rowOff>28576</xdr:rowOff>
    </xdr:from>
    <xdr:to>
      <xdr:col>3</xdr:col>
      <xdr:colOff>123825</xdr:colOff>
      <xdr:row>28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4543426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161925</xdr:colOff>
      <xdr:row>8</xdr:row>
      <xdr:rowOff>171450</xdr:rowOff>
    </xdr:from>
    <xdr:to>
      <xdr:col>6</xdr:col>
      <xdr:colOff>161925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2009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209550</xdr:colOff>
      <xdr:row>1</xdr:row>
      <xdr:rowOff>123824</xdr:rowOff>
    </xdr:from>
    <xdr:to>
      <xdr:col>9</xdr:col>
      <xdr:colOff>360750</xdr:colOff>
      <xdr:row>7</xdr:row>
      <xdr:rowOff>60824</xdr:rowOff>
    </xdr:to>
    <xdr:sp macro="" textlink="TbDinamicaApagar!AG27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867150" y="628649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t>Valor a Pagar</a:t>
          </a:r>
          <a:fld id="{8D1A91A6-9A85-443D-8573-0F60CC66FA1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R$515,00 </a:t>
          </a:fld>
          <a:endParaRPr lang="pt-BR" sz="18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47625</xdr:rowOff>
    </xdr:from>
    <xdr:to>
      <xdr:col>17</xdr:col>
      <xdr:colOff>962025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596390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0</xdr:row>
      <xdr:rowOff>38100</xdr:rowOff>
    </xdr:from>
    <xdr:to>
      <xdr:col>17</xdr:col>
      <xdr:colOff>971550</xdr:colOff>
      <xdr:row>0</xdr:row>
      <xdr:rowOff>371475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6268700" y="38100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1.038755092595" createdVersion="6" refreshedVersion="6" minRefreshableVersion="3" recordCount="1" xr:uid="{59DE47C1-C387-45B6-BBBA-9737981CA9A7}">
  <cacheSource type="worksheet">
    <worksheetSource name="Tabela1"/>
  </cacheSource>
  <cacheFields count="6">
    <cacheField name="ID" numFmtId="1">
      <sharedItems containsNonDate="0" containsString="0" containsBlank="1"/>
    </cacheField>
    <cacheField name="DT LANCAMENTO" numFmtId="14">
      <sharedItems containsNonDate="0" containsDate="1" containsString="0" containsBlank="1" minDate="2021-03-07T00:00:00" maxDate="2021-07-04T00:00:00" count="5">
        <m/>
        <d v="2021-07-03T00:00:00" u="1"/>
        <d v="2021-03-07T00:00:00" u="1"/>
        <d v="2021-06-03T00:00:00" u="1"/>
        <d v="2021-03-25T00:00:00" u="1"/>
      </sharedItems>
    </cacheField>
    <cacheField name="DT PAGAMENTO" numFmtId="14">
      <sharedItems containsNonDate="0" containsDate="1" containsString="0" containsBlank="1" minDate="2021-03-07T00:00:00" maxDate="2021-07-04T00:00:00" count="5">
        <m/>
        <d v="2021-07-03T00:00:00" u="1"/>
        <d v="2021-03-07T00:00:00" u="1"/>
        <d v="2021-06-03T00:00:00" u="1"/>
        <d v="2021-03-26T00:00:00" u="1"/>
      </sharedItems>
    </cacheField>
    <cacheField name="VALOR" numFmtId="7">
      <sharedItems containsNonDate="0" containsString="0" containsBlank="1" containsNumber="1" containsInteger="1" minValue="15" maxValue="500" count="11">
        <m/>
        <n v="100" u="1"/>
        <n v="15" u="1"/>
        <n v="50" u="1"/>
        <n v="300" u="1"/>
        <n v="500" u="1"/>
        <n v="60" u="1"/>
        <n v="25" u="1"/>
        <n v="150" u="1"/>
        <n v="200" u="1"/>
        <n v="250" u="1"/>
      </sharedItems>
    </cacheField>
    <cacheField name="DESCRIÇÃO" numFmtId="0">
      <sharedItems containsNonDate="0" containsBlank="1" count="9">
        <m/>
        <s v="Internet" u="1"/>
        <s v="Pagamento de agua do mes de fevereiro" u="1"/>
        <s v="AGUA" u="1"/>
        <s v="Motoboy" u="1"/>
        <s v="mercado" u="1"/>
        <s v="Pagamento de luz mes de fevereiro" u="1"/>
        <s v="compra de material de escritório" u="1"/>
        <s v="entregas" u="1"/>
      </sharedItems>
    </cacheField>
    <cacheField name="FORNECEDOR" numFmtId="0">
      <sharedItems containsNonDate="0" containsBlank="1" count="7">
        <m/>
        <s v="Livraria do bairro" u="1"/>
        <s v="copel" u="1"/>
        <s v="Sanepar" u="1"/>
        <s v="Provedor de internet" u="1"/>
        <s v="mercado" u="1"/>
        <s v="Anjos motobo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48922800925" createdVersion="6" refreshedVersion="6" minRefreshableVersion="3" recordCount="5" xr:uid="{3BBD0547-5433-408F-BE62-51CE7B9EDB04}">
  <cacheSource type="worksheet">
    <worksheetSource name="Tabela7"/>
  </cacheSource>
  <cacheFields count="20">
    <cacheField name="ID" numFmtId="0">
      <sharedItems containsSemiMixedTypes="0" containsString="0" containsNumber="1" containsInteger="1" minValue="1" maxValue="6"/>
    </cacheField>
    <cacheField name="PERITO" numFmtId="0">
      <sharedItems containsMixedTypes="1" containsNumber="1" containsInteger="1" minValue="2" maxValue="101" count="4">
        <n v="2"/>
        <s v="PEDRO HENRIQUE RIBEIRO CAVALLARI"/>
        <s v="BEATRIZ ALVES MIRA"/>
        <n v="101"/>
      </sharedItems>
    </cacheField>
    <cacheField name="SINISTRO" numFmtId="0">
      <sharedItems containsSemiMixedTypes="0" containsString="0" containsNumber="1" containsInteger="1" minValue="1" maxValue="125" count="6">
        <n v="3"/>
        <n v="1"/>
        <n v="125" u="1"/>
        <n v="5" u="1"/>
        <n v="2" u="1"/>
        <n v="8" u="1"/>
      </sharedItems>
    </cacheField>
    <cacheField name="APOLICE" numFmtId="0">
      <sharedItems containsDate="1" containsString="0" containsBlank="1" containsMixedTypes="1" minDate="1899-12-31T00:17:04" maxDate="1900-01-02T00:00:00" count="3">
        <n v="4"/>
        <d v="1900-01-01T00:00:00"/>
        <m/>
      </sharedItems>
    </cacheField>
    <cacheField name="DT VISTORIA" numFmtId="0">
      <sharedItems containsDate="1" containsBlank="1" containsMixedTypes="1" minDate="1899-12-31T00:21:04" maxDate="2021-04-04T00:00:00" count="5">
        <n v="5"/>
        <d v="2021-03-25T00:00:00"/>
        <s v="25/03/2021"/>
        <m u="1"/>
        <d v="2021-04-03T00:00:00" u="1"/>
      </sharedItems>
    </cacheField>
    <cacheField name="HONORÁRIO R$ " numFmtId="0">
      <sharedItems containsSemiMixedTypes="0" containsString="0" containsNumber="1" containsInteger="1" minValue="6" maxValue="150" count="6">
        <n v="6"/>
        <n v="100"/>
        <n v="101"/>
        <n v="103" u="1"/>
        <n v="150" u="1"/>
        <n v="105" u="1"/>
      </sharedItems>
    </cacheField>
    <cacheField name="VALOR KM R$" numFmtId="0">
      <sharedItems containsString="0" containsBlank="1" containsNumber="1" minValue="0" maxValue="13" count="6">
        <n v="7"/>
        <n v="1.2"/>
        <m/>
        <n v="0"/>
        <n v="13" u="1"/>
        <n v="12" u="1"/>
      </sharedItems>
    </cacheField>
    <cacheField name="HOTEL" numFmtId="0">
      <sharedItems containsSemiMixedTypes="0" containsString="0" containsNumber="1" containsInteger="1" minValue="0" maxValue="8" count="3">
        <n v="8"/>
        <n v="2"/>
        <n v="0"/>
      </sharedItems>
    </cacheField>
    <cacheField name="REFEIÇÃO" numFmtId="0">
      <sharedItems containsSemiMixedTypes="0" containsString="0" containsNumber="1" containsInteger="1" minValue="0" maxValue="10" count="3">
        <n v="9"/>
        <n v="0"/>
        <n v="10" u="1"/>
      </sharedItems>
    </cacheField>
    <cacheField name="PEDÁGIO " numFmtId="0">
      <sharedItems containsString="0" containsBlank="1" containsNumber="1" containsInteger="1" minValue="0" maxValue="10" count="3">
        <n v="10"/>
        <m/>
        <n v="0"/>
      </sharedItems>
    </cacheField>
    <cacheField name="PASSAGEM ÁERA" numFmtId="0">
      <sharedItems containsString="0" containsBlank="1" containsNumber="1" containsInteger="1" minValue="0" maxValue="11" count="3">
        <n v="11"/>
        <m/>
        <n v="0"/>
      </sharedItems>
    </cacheField>
    <cacheField name="ALUGUEL CARRO " numFmtId="0">
      <sharedItems containsString="0" containsBlank="1" containsNumber="1" containsInteger="1" minValue="0" maxValue="12" count="3">
        <n v="12"/>
        <m/>
        <n v="0"/>
      </sharedItems>
    </cacheField>
    <cacheField name="OUTROS " numFmtId="0">
      <sharedItems containsSemiMixedTypes="0" containsString="0" containsNumber="1" containsInteger="1" minValue="0" maxValue="101" count="4">
        <n v="13"/>
        <n v="3"/>
        <n v="0"/>
        <n v="101"/>
      </sharedItems>
    </cacheField>
    <cacheField name=" TOTAL " numFmtId="0">
      <sharedItems containsSemiMixedTypes="0" containsString="0" containsNumber="1" minValue="14" maxValue="201" count="11">
        <n v="14"/>
        <n v="106.2"/>
        <n v="100"/>
        <n v="101"/>
        <n v="201"/>
        <n v="172" u="1"/>
        <n v="116" u="1"/>
        <n v="111" u="1"/>
        <n v="20" u="1"/>
        <n v="163" u="1"/>
        <n v="30" u="1"/>
      </sharedItems>
    </cacheField>
    <cacheField name="DT LANCAMENTO" numFmtId="0">
      <sharedItems containsDate="1" containsString="0" containsBlank="1" containsMixedTypes="1" minDate="1899-12-31T00:47:04" maxDate="2021-03-27T00:00:00" count="3">
        <n v="15"/>
        <d v="2021-03-26T00:00:00"/>
        <m u="1"/>
      </sharedItems>
    </cacheField>
    <cacheField name="TIPO" numFmtId="0">
      <sharedItems containsMixedTypes="1" containsNumber="1" containsInteger="1" minValue="16" maxValue="16" count="3">
        <n v="16"/>
        <s v="Pericia"/>
        <s v="Penhor"/>
      </sharedItems>
    </cacheField>
    <cacheField name="STATUS" numFmtId="0">
      <sharedItems containsMixedTypes="1" containsNumber="1" containsInteger="1" minValue="17" maxValue="17" count="3">
        <n v="17"/>
        <s v="Aberto"/>
        <s v="Liquidado"/>
      </sharedItems>
    </cacheField>
    <cacheField name="DT PAGAMENTO" numFmtId="0">
      <sharedItems containsDate="1" containsBlank="1" containsMixedTypes="1" minDate="1899-12-31T00:51:04" maxDate="2021-03-28T00:00:00" count="5">
        <n v="18"/>
        <m/>
        <d v="2021-03-27T00:00:00"/>
        <d v="2021-02-28T00:00:00" u="1"/>
        <s v="SWISS RE" u="1"/>
      </sharedItems>
    </cacheField>
    <cacheField name="SEGURADORA" numFmtId="0">
      <sharedItems containsMixedTypes="1" containsNumber="1" containsInteger="1" minValue="17" maxValue="19" count="4">
        <n v="19"/>
        <s v="SWISS RE"/>
        <s v="NEWE"/>
        <n v="17" u="1"/>
      </sharedItems>
    </cacheField>
    <cacheField name="ID ORIGEM" numFmtId="0">
      <sharedItems containsString="0" containsBlank="1" containsNumber="1" containsInteger="1" minValue="3" maxValue="20"/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50592708336" createdVersion="6" refreshedVersion="6" minRefreshableVersion="3" recordCount="5" xr:uid="{1B14A92F-CACB-47FA-8DC0-D836847A0DFC}">
  <cacheSource type="worksheet">
    <worksheetSource name="Tabela8"/>
  </cacheSource>
  <cacheFields count="23">
    <cacheField name="ID" numFmtId="0">
      <sharedItems containsSemiMixedTypes="0" containsString="0" containsNumber="1" containsInteger="1" minValue="1" maxValue="6"/>
    </cacheField>
    <cacheField name="PERITO" numFmtId="0">
      <sharedItems containsMixedTypes="1" containsNumber="1" containsInteger="1" minValue="2" maxValue="101" count="4">
        <n v="2"/>
        <s v="PEDRO HENRIQUE RIBEIRO CAVALLARI"/>
        <s v="BEATRIZ ALVES MIRA"/>
        <n v="101"/>
      </sharedItems>
    </cacheField>
    <cacheField name="SINISTRO" numFmtId="0">
      <sharedItems containsSemiMixedTypes="0" containsString="0" containsNumber="1" minValue="1" maxValue="125" count="10">
        <n v="3"/>
        <n v="1"/>
        <n v="125" u="1"/>
        <n v="4.5999999999999996" u="1"/>
        <n v="2" u="1"/>
        <n v="7" u="1"/>
        <n v="8" u="1"/>
        <n v="9" u="1"/>
        <n v="10" u="1"/>
        <n v="4" u="1"/>
      </sharedItems>
    </cacheField>
    <cacheField name="APOLICE" numFmtId="0">
      <sharedItems containsString="0" containsBlank="1" containsNumber="1" containsInteger="1" minValue="2" maxValue="121" count="4">
        <n v="4"/>
        <n v="2"/>
        <m/>
        <n v="121" u="1"/>
      </sharedItems>
    </cacheField>
    <cacheField name="DT VISTORIA" numFmtId="0">
      <sharedItems containsDate="1" containsBlank="1" containsMixedTypes="1" minDate="1899-12-31T00:21:04" maxDate="2021-04-04T00:00:00" count="7">
        <n v="5"/>
        <d v="2021-03-25T00:00:00"/>
        <s v="25/03/2021"/>
        <m u="1"/>
        <d v="1900-04-21T00:00:00" u="1"/>
        <d v="2021-04-03T00:00:00" u="1"/>
        <d v="2021-03-04T00:00:00" u="1"/>
      </sharedItems>
    </cacheField>
    <cacheField name="HONORÁRIO R$ " numFmtId="0">
      <sharedItems containsSemiMixedTypes="0" containsString="0" containsNumber="1" minValue="6" maxValue="474" count="9">
        <n v="6"/>
        <n v="300"/>
        <n v="202"/>
        <n v="200"/>
        <n v="320" u="1"/>
        <n v="400" u="1"/>
        <n v="474" u="1"/>
        <n v="198.666666666667" u="1"/>
        <n v="350" u="1"/>
      </sharedItems>
    </cacheField>
    <cacheField name="VALOR KM R$" numFmtId="0">
      <sharedItems containsString="0" containsBlank="1" containsNumber="1" minValue="0" maxValue="20" count="7">
        <n v="7"/>
        <n v="1.2"/>
        <m/>
        <n v="0"/>
        <n v="13" u="1"/>
        <n v="20" u="1"/>
        <n v="12" u="1"/>
      </sharedItems>
    </cacheField>
    <cacheField name="HOTEL" numFmtId="0">
      <sharedItems containsSemiMixedTypes="0" containsString="0" containsNumber="1" minValue="0" maxValue="10" count="5">
        <n v="8"/>
        <n v="2"/>
        <n v="0"/>
        <n v="3.3333333333333401" u="1"/>
        <n v="10" u="1"/>
      </sharedItems>
    </cacheField>
    <cacheField name="REFEIÇÃO" numFmtId="0">
      <sharedItems containsSemiMixedTypes="0" containsString="0" containsNumber="1" minValue="0" maxValue="197" count="6">
        <n v="9"/>
        <n v="0"/>
        <n v="50" u="1"/>
        <n v="13.3333333333333" u="1"/>
        <n v="197" u="1"/>
        <n v="10" u="1"/>
      </sharedItems>
    </cacheField>
    <cacheField name="PEDÁGIO " numFmtId="0">
      <sharedItems containsString="0" containsBlank="1" containsNumber="1" containsInteger="1" minValue="0" maxValue="10" count="3">
        <n v="10"/>
        <m/>
        <n v="0"/>
      </sharedItems>
    </cacheField>
    <cacheField name="PASSAGEM ÁERA" numFmtId="0">
      <sharedItems containsString="0" containsBlank="1" containsNumber="1" containsInteger="1" minValue="0" maxValue="11" count="3">
        <n v="11"/>
        <m/>
        <n v="0"/>
      </sharedItems>
    </cacheField>
    <cacheField name="ALUGUEL CARRO" numFmtId="0">
      <sharedItems containsString="0" containsBlank="1" containsNumber="1" containsInteger="1" minValue="0" maxValue="12" count="3">
        <n v="12"/>
        <m/>
        <n v="0"/>
      </sharedItems>
    </cacheField>
    <cacheField name="OUTROS " numFmtId="0">
      <sharedItems containsSemiMixedTypes="0" containsString="0" containsNumber="1" minValue="0" maxValue="197" count="7">
        <n v="13"/>
        <n v="3"/>
        <n v="0"/>
        <n v="101"/>
        <n v="197" u="1"/>
        <n v="3.3333333333333401" u="1"/>
        <n v="10" u="1"/>
      </sharedItems>
    </cacheField>
    <cacheField name="TOTAL " numFmtId="0">
      <sharedItems containsSemiMixedTypes="0" containsString="0" containsNumber="1" minValue="14" maxValue="474" count="12">
        <n v="14"/>
        <n v="308.60000000000002"/>
        <n v="300"/>
        <n v="202"/>
        <n v="301"/>
        <n v="212" u="1"/>
        <n v="364.3" u="1"/>
        <n v="244" u="1"/>
        <n v="374" u="1"/>
        <n v="474" u="1"/>
        <n v="252" u="1"/>
        <n v="234" u="1"/>
      </sharedItems>
    </cacheField>
    <cacheField name="DT LANCAMENTO" numFmtId="0">
      <sharedItems containsDate="1" containsString="0" containsBlank="1" containsMixedTypes="1" minDate="1899-12-31T00:47:04" maxDate="2021-03-27T00:00:00" count="6">
        <n v="15"/>
        <d v="2021-03-26T00:00:00"/>
        <m u="1"/>
        <d v="2021-02-28T00:00:00" u="1"/>
        <d v="2021-03-25T00:00:00" u="1"/>
        <d v="2021-03-04T00:00:00" u="1"/>
      </sharedItems>
    </cacheField>
    <cacheField name="TIPO" numFmtId="0">
      <sharedItems containsMixedTypes="1" containsNumber="1" containsInteger="1" minValue="16" maxValue="16" count="3">
        <n v="16"/>
        <s v="Pericia"/>
        <s v="Penhor"/>
      </sharedItems>
    </cacheField>
    <cacheField name="STATUS" numFmtId="0">
      <sharedItems containsMixedTypes="1" containsNumber="1" containsInteger="1" minValue="17" maxValue="17" count="3">
        <n v="17"/>
        <s v="Aberto"/>
        <s v="Liquidado"/>
      </sharedItems>
    </cacheField>
    <cacheField name="DT RECEBIMENTO" numFmtId="0">
      <sharedItems containsDate="1" containsString="0" containsBlank="1" containsMixedTypes="1" minDate="1899-12-31T00:51:04" maxDate="2021-03-28T00:00:00" count="6">
        <n v="18"/>
        <m/>
        <d v="2021-03-27T00:00:00"/>
        <d v="2021-03-05T00:00:00" u="1"/>
        <d v="2021-03-03T00:00:00" u="1"/>
        <d v="2021-03-04T00:00:00" u="1"/>
      </sharedItems>
    </cacheField>
    <cacheField name="SEGURADORA" numFmtId="0">
      <sharedItems containsMixedTypes="1" containsNumber="1" containsInteger="1" minValue="19" maxValue="19" count="3">
        <n v="19"/>
        <s v="SWISS RE"/>
        <s v="NEWE"/>
      </sharedItems>
    </cacheField>
    <cacheField name="NF" numFmtId="0">
      <sharedItems containsSemiMixedTypes="0" containsString="0" containsNumber="1" containsInteger="1" minValue="1" maxValue="112" count="7">
        <n v="20"/>
        <n v="14"/>
        <n v="15"/>
        <n v="55"/>
        <n v="112" u="1"/>
        <n v="1" u="1"/>
        <n v="3" u="1"/>
      </sharedItems>
    </cacheField>
    <cacheField name="SALDO" numFmtId="0">
      <sharedItems containsSemiMixedTypes="0" containsString="0" containsNumber="1" minValue="0" maxValue="474" count="20">
        <n v="21"/>
        <n v="308.60000000000002"/>
        <n v="300"/>
        <n v="202"/>
        <n v="0"/>
        <n v="301" u="1"/>
        <n v="201" u="1"/>
        <n v="99" u="1"/>
        <n v="212" u="1"/>
        <n v="364.3" u="1"/>
        <n v="244" u="1"/>
        <n v="374" u="1"/>
        <n v="474" u="1"/>
        <n v="252" u="1"/>
        <n v="81" u="1"/>
        <n v="134" u="1"/>
        <n v="234" u="1"/>
        <n v="150" u="1"/>
        <n v="200" u="1"/>
        <n v="84" u="1"/>
      </sharedItems>
    </cacheField>
    <cacheField name="Obs" numFmtId="0">
      <sharedItems containsBlank="1" containsMixedTypes="1" containsNumber="1" containsInteger="1" minValue="22" maxValue="22"/>
    </cacheField>
    <cacheField name="ID ORIGEM" numFmtId="0">
      <sharedItems containsString="0" containsBlank="1" containsNumber="1" containsInteger="1" minValue="3" maxValue="23"/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101855" createdVersion="6" refreshedVersion="6" minRefreshableVersion="3" recordCount="2" xr:uid="{D166E7A9-87FE-4228-9291-9CD046157291}">
  <cacheSource type="worksheet">
    <worksheetSource name="Tabela4"/>
  </cacheSource>
  <cacheFields count="33">
    <cacheField name="ID" numFmtId="1">
      <sharedItems containsSemiMixedTypes="0" containsString="0" containsNumber="1" containsInteger="1" minValue="1" maxValue="3"/>
    </cacheField>
    <cacheField name="DT AVISO" numFmtId="0">
      <sharedItems containsSemiMixedTypes="0" containsDate="1" containsString="0" containsMixedTypes="1" minDate="1899-12-31T00:01:04" maxDate="1900-01-14T00:00:00"/>
    </cacheField>
    <cacheField name="NF" numFmtId="0">
      <sharedItems containsSemiMixedTypes="0" containsString="0" containsNumber="1" containsInteger="1" minValue="1" maxValue="3"/>
    </cacheField>
    <cacheField name="DT VISTORIA " numFmtId="0">
      <sharedItems containsDate="1" containsBlank="1" containsMixedTypes="1" minDate="1899-12-31T00:17:04" maxDate="2021-03-02T00:00:00" count="6">
        <n v="4"/>
        <d v="2021-03-01T00:00:00"/>
        <m u="1"/>
        <d v="2021-02-21T00:00:00" u="1"/>
        <s v="17/02/2021" u="1"/>
        <d v="2021-01-01T00:00:00" u="1"/>
      </sharedItems>
    </cacheField>
    <cacheField name="DT REVISTORIA" numFmtId="0">
      <sharedItems containsSemiMixedTypes="0" containsDate="1" containsString="0" containsMixedTypes="1" minDate="1899-12-31T00:21:04" maxDate="2021-03-03T00:00:00"/>
    </cacheField>
    <cacheField name="APÓLICE " numFmtId="0">
      <sharedItems containsString="0" containsBlank="1" containsNumber="1" containsInteger="1" minValue="6" maxValue="6"/>
    </cacheField>
    <cacheField name="SINISTRO" numFmtId="1">
      <sharedItems containsSemiMixedTypes="0" containsString="0" containsNumber="1" containsInteger="1" minValue="0" maxValue="12587" count="9">
        <n v="7"/>
        <n v="1"/>
        <n v="0" u="1"/>
        <n v="1253" u="1"/>
        <n v="2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88" count="4">
        <n v="88"/>
        <s v="Natanael"/>
        <n v="0" u="1"/>
        <n v="8" u="1"/>
      </sharedItems>
    </cacheField>
    <cacheField name="MUNICIPIO " numFmtId="0">
      <sharedItems containsMixedTypes="1" containsNumber="1" containsInteger="1" minValue="0" maxValue="9" count="3">
        <n v="9"/>
        <s v="Toledo"/>
        <n v="0" u="1"/>
      </sharedItems>
    </cacheField>
    <cacheField name="UF" numFmtId="0">
      <sharedItems containsMixedTypes="1" containsNumber="1" containsInteger="1" minValue="0" maxValue="10" count="3">
        <n v="10"/>
        <s v="PR"/>
        <n v="0" u="1"/>
      </sharedItems>
    </cacheField>
    <cacheField name="NATUREZA DO SINISTRO" numFmtId="0">
      <sharedItems containsMixedTypes="1" containsNumber="1" containsInteger="1" minValue="11" maxValue="11"/>
    </cacheField>
    <cacheField name="PERITO " numFmtId="0">
      <sharedItems containsSemiMixedTypes="0" containsString="0" containsNumber="1" containsInteger="1" minValue="12" maxValue="100"/>
    </cacheField>
    <cacheField name=" HONORÁRIO R$  " numFmtId="0">
      <sharedItems containsSemiMixedTypes="0" containsString="0" containsNumber="1" containsInteger="1" minValue="13" maxValue="100"/>
    </cacheField>
    <cacheField name="KM  " numFmtId="0">
      <sharedItems containsSemiMixedTypes="0" containsString="0" containsNumber="1" containsInteger="1" minValue="0" maxValue="14"/>
    </cacheField>
    <cacheField name="KM R$" numFmtId="0">
      <sharedItems containsSemiMixedTypes="0" containsString="0" containsNumber="1" containsInteger="1" minValue="0" maxValue="15"/>
    </cacheField>
    <cacheField name="PEDÁGIO " numFmtId="0">
      <sharedItems containsSemiMixedTypes="0" containsString="0" containsNumber="1" containsInteger="1" minValue="0" maxValue="16"/>
    </cacheField>
    <cacheField name="HOTEL " numFmtId="0">
      <sharedItems containsSemiMixedTypes="0" containsString="0" containsNumber="1" containsInteger="1" minValue="0" maxValue="17"/>
    </cacheField>
    <cacheField name="REFEIÇÃO " numFmtId="0">
      <sharedItems containsSemiMixedTypes="0" containsString="0" containsNumber="1" containsInteger="1" minValue="0" maxValue="18"/>
    </cacheField>
    <cacheField name="PASSAGEM ÁERA" numFmtId="0">
      <sharedItems containsSemiMixedTypes="0" containsString="0" containsNumber="1" containsInteger="1" minValue="0" maxValue="19"/>
    </cacheField>
    <cacheField name="ALUGUEL CARRO " numFmtId="0">
      <sharedItems containsSemiMixedTypes="0" containsString="0" containsNumber="1" containsInteger="1" minValue="20" maxValue="101"/>
    </cacheField>
    <cacheField name="OUTROS " numFmtId="0">
      <sharedItems containsSemiMixedTypes="0" containsString="0" containsNumber="1" containsInteger="1" minValue="21" maxValue="201"/>
    </cacheField>
    <cacheField name="TOTAL  " numFmtId="0">
      <sharedItems containsSemiMixedTypes="0" containsString="0" containsNumber="1" containsInteger="1" minValue="22" maxValue="402"/>
    </cacheField>
    <cacheField name="SEGURADORA" numFmtId="0">
      <sharedItems containsMixedTypes="1" containsNumber="1" containsInteger="1" minValue="23" maxValue="23"/>
    </cacheField>
    <cacheField name="STATUS SEGURADORA" numFmtId="0">
      <sharedItems containsString="0" containsBlank="1" containsNumber="1" containsInteger="1" minValue="24" maxValue="24"/>
    </cacheField>
    <cacheField name="STATUS PERITO" numFmtId="0">
      <sharedItems containsString="0" containsBlank="1" containsNumber="1" containsInteger="1" minValue="25" maxValue="25"/>
    </cacheField>
    <cacheField name="TIPO DO BEM" numFmtId="0">
      <sharedItems containsMixedTypes="1" containsNumber="1" containsInteger="1" minValue="26" maxValue="26"/>
    </cacheField>
    <cacheField name="DT LANÇAMENTO " numFmtId="0">
      <sharedItems containsSemiMixedTypes="0" containsString="0" containsNumber="1" containsInteger="1" minValue="0" maxValue="27"/>
    </cacheField>
    <cacheField name="KM RODADO EMPRESA" numFmtId="0">
      <sharedItems containsSemiMixedTypes="0" containsString="0" containsNumber="1" containsInteger="1" minValue="0" maxValue="28"/>
    </cacheField>
    <cacheField name="KM R$ EMPR" numFmtId="0">
      <sharedItems containsSemiMixedTypes="0" containsString="0" containsNumber="1" containsInteger="1" minValue="0" maxValue="29"/>
    </cacheField>
    <cacheField name="DT AGENDAMENTO" numFmtId="0">
      <sharedItems containsSemiMixedTypes="0" containsDate="1" containsString="0" containsMixedTypes="1" minDate="1899-12-31T01:03:04" maxDate="2021-03-26T00:00:00" count="8">
        <n v="30"/>
        <d v="2021-03-25T00:00:00"/>
        <d v="2021-02-16T00:00:00" u="1"/>
        <d v="2021-02-17T00:00:00" u="1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emiMixedTypes="0" containsString="0" containsNumber="1" containsInteger="1" minValue="31" maxValue="200"/>
    </cacheField>
    <cacheField name="TOTAL EMPRESA" numFmtId="0">
      <sharedItems containsSemiMixedTypes="0" containsString="0" containsNumber="1" containsInteger="1" minValue="32" maxValue="502"/>
    </cacheField>
    <cacheField name="DT ENCERRAMENTO" numFmtId="0">
      <sharedItems containsSemiMixedTypes="0" containsDate="1" containsString="0" containsMixedTypes="1" minDate="1900-01-05T09:05:04" maxDate="2021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333332" createdVersion="6" refreshedVersion="6" minRefreshableVersion="3" recordCount="1" xr:uid="{B62C7716-6BAC-4E92-9E21-C2BC846F8282}">
  <cacheSource type="worksheet">
    <worksheetSource name="Tabela3"/>
  </cacheSource>
  <cacheFields count="32">
    <cacheField name="ID" numFmtId="0">
      <sharedItems containsSemiMixedTypes="0" containsString="0" containsNumber="1" containsInteger="1" minValue="1" maxValue="1"/>
    </cacheField>
    <cacheField name="DT RECEBIMENTO" numFmtId="0">
      <sharedItems containsDate="1" containsMixedTypes="1" minDate="1899-12-31T00:01:04" maxDate="2021-04-04T00:00:00" count="6">
        <n v="2"/>
        <d v="2021-01-02T00:00:00" u="1"/>
        <s v="17/02/2021" u="1"/>
        <d v="2021-04-03T00:00:00" u="1"/>
        <s v="19/02/2021" u="1"/>
        <d v="2020-01-01T00:00:00" u="1"/>
      </sharedItems>
    </cacheField>
    <cacheField name="DT VISTORIA" numFmtId="0">
      <sharedItems containsDate="1" containsBlank="1" containsMixedTypes="1" minDate="1899-12-31T00:09:04" maxDate="2021-04-04T00:00:00" count="9">
        <n v="3"/>
        <m u="1"/>
        <d v="2021-03-02T00:00:00" u="1"/>
        <s v="20/02/2021" u="1"/>
        <d v="2021-02-02T00:00:00" u="1"/>
        <d v="2021-04-03T00:00:00" u="1"/>
        <d v="2020-01-01T00:00:00" u="1"/>
        <s v="18/02/2021" u="1"/>
        <d v="2021-03-04T00:00:00" u="1"/>
      </sharedItems>
    </cacheField>
    <cacheField name="DT ENTREGA " numFmtId="0">
      <sharedItems containsSemiMixedTypes="0" containsString="0" containsNumber="1" containsInteger="1" minValue="4" maxValue="4"/>
    </cacheField>
    <cacheField name="NF" numFmtId="0">
      <sharedItems containsSemiMixedTypes="0" containsString="0" containsNumber="1" containsInteger="1" minValue="5" maxValue="5"/>
    </cacheField>
    <cacheField name="SINISTRO" numFmtId="0">
      <sharedItems containsSemiMixedTypes="0" containsString="0" containsNumber="1" containsInteger="1" minValue="0" maxValue="158" count="11">
        <n v="66"/>
        <n v="0" u="1"/>
        <n v="125" u="1"/>
        <n v="5" u="1"/>
        <n v="6" u="1"/>
        <n v="7" u="1"/>
        <n v="1" u="1"/>
        <n v="3" u="1"/>
        <n v="8" u="1"/>
        <n v="158" u="1"/>
        <n v="4" u="1"/>
      </sharedItems>
    </cacheField>
    <cacheField name="APÓLICE" numFmtId="0">
      <sharedItems containsSemiMixedTypes="0" containsString="0" containsNumber="1" containsInteger="1" minValue="7" maxValue="7"/>
    </cacheField>
    <cacheField name="PROPOSTA" numFmtId="0">
      <sharedItems containsSemiMixedTypes="0" containsString="0" containsNumber="1" containsInteger="1" minValue="8" maxValue="8"/>
    </cacheField>
    <cacheField name="SEGURADO" numFmtId="0">
      <sharedItems containsSemiMixedTypes="0" containsString="0" containsNumber="1" containsInteger="1" minValue="0" maxValue="9" count="2">
        <n v="9"/>
        <n v="0" u="1"/>
      </sharedItems>
    </cacheField>
    <cacheField name="OBS:" numFmtId="0">
      <sharedItems containsSemiMixedTypes="0" containsString="0" containsNumber="1" containsInteger="1" minValue="10" maxValue="10"/>
    </cacheField>
    <cacheField name="MUNICIPIO " numFmtId="0">
      <sharedItems containsSemiMixedTypes="0" containsString="0" containsNumber="1" containsInteger="1" minValue="0" maxValue="11" count="2">
        <n v="11"/>
        <n v="0" u="1"/>
      </sharedItems>
    </cacheField>
    <cacheField name="UF" numFmtId="0">
      <sharedItems containsSemiMixedTypes="0" containsString="0" containsNumber="1" containsInteger="1" minValue="0" maxValue="12" count="2">
        <n v="12"/>
        <n v="0" u="1"/>
      </sharedItems>
    </cacheField>
    <cacheField name="EVENTO" numFmtId="0">
      <sharedItems containsSemiMixedTypes="0" containsString="0" containsNumber="1" containsInteger="1" minValue="13" maxValue="13"/>
    </cacheField>
    <cacheField name="CULTURA" numFmtId="0">
      <sharedItems containsSemiMixedTypes="0" containsString="0" containsNumber="1" containsInteger="1" minValue="14" maxValue="14"/>
    </cacheField>
    <cacheField name="PERITO " numFmtId="0">
      <sharedItems containsSemiMixedTypes="0" containsString="0" containsNumber="1" containsInteger="1" minValue="15" maxValue="15"/>
    </cacheField>
    <cacheField name="VISTORIA" numFmtId="0">
      <sharedItems containsSemiMixedTypes="0" containsString="0" containsNumber="1" containsInteger="1" minValue="16" maxValue="16"/>
    </cacheField>
    <cacheField name="AREA SEGURADA" numFmtId="0">
      <sharedItems containsSemiMixedTypes="0" containsString="0" containsNumber="1" containsInteger="1" minValue="17" maxValue="17"/>
    </cacheField>
    <cacheField name="AREA VISTORIADA" numFmtId="0">
      <sharedItems containsSemiMixedTypes="0" containsString="0" containsNumber="1" containsInteger="1" minValue="18" maxValue="18"/>
    </cacheField>
    <cacheField name="SEGURADORA" numFmtId="0">
      <sharedItems containsSemiMixedTypes="0" containsString="0" containsNumber="1" containsInteger="1" minValue="19" maxValue="19"/>
    </cacheField>
    <cacheField name="HONORÁRIO R$ " numFmtId="0">
      <sharedItems containsSemiMixedTypes="0" containsString="0" containsNumber="1" containsInteger="1" minValue="20" maxValue="20"/>
    </cacheField>
    <cacheField name="KM RODADO PERITO" numFmtId="0">
      <sharedItems containsSemiMixedTypes="0" containsString="0" containsNumber="1" containsInteger="1" minValue="21" maxValue="21"/>
    </cacheField>
    <cacheField name="VALOR KM R$" numFmtId="0">
      <sharedItems containsSemiMixedTypes="0" containsString="0" containsNumber="1" containsInteger="1" minValue="22" maxValue="22"/>
    </cacheField>
    <cacheField name="KM RODADO EMPRESA" numFmtId="0">
      <sharedItems containsSemiMixedTypes="0" containsString="0" containsNumber="1" containsInteger="1" minValue="23" maxValue="23"/>
    </cacheField>
    <cacheField name="KM R$ EMPR" numFmtId="0">
      <sharedItems containsSemiMixedTypes="0" containsString="0" containsNumber="1" containsInteger="1" minValue="24" maxValue="24"/>
    </cacheField>
    <cacheField name="HOTEL" numFmtId="0">
      <sharedItems containsSemiMixedTypes="0" containsString="0" containsNumber="1" containsInteger="1" minValue="25" maxValue="25"/>
    </cacheField>
    <cacheField name="REFEIÇÃO" numFmtId="0">
      <sharedItems containsSemiMixedTypes="0" containsString="0" containsNumber="1" containsInteger="1" minValue="26" maxValue="26"/>
    </cacheField>
    <cacheField name="OUTROS " numFmtId="0">
      <sharedItems containsSemiMixedTypes="0" containsString="0" containsNumber="1" containsInteger="1" minValue="27" maxValue="27"/>
    </cacheField>
    <cacheField name="TOTAL " numFmtId="0">
      <sharedItems containsSemiMixedTypes="0" containsString="0" containsNumber="1" containsInteger="1" minValue="28" maxValue="28"/>
    </cacheField>
    <cacheField name="DT LANÇAMENTO " numFmtId="0">
      <sharedItems containsSemiMixedTypes="0" containsString="0" containsNumber="1" containsInteger="1" minValue="29" maxValue="29"/>
    </cacheField>
    <cacheField name="DT AGENDAMENTO" numFmtId="0">
      <sharedItems containsDate="1" containsMixedTypes="1" minDate="1899-12-31T01:03:04" maxDate="2021-05-04T00:00:00" count="8">
        <n v="30"/>
        <d v="2021-05-03T00:00:00" u="1"/>
        <d v="2021-04-03T00:00:00" u="1"/>
        <d v="2021-03-03T00:00:00" u="1"/>
        <s v="21/02/2021" u="1"/>
        <d v="2021-01-03T00:00:00" u="1"/>
        <d v="2020-01-01T00:00:00" u="1"/>
        <s v="18/02/2021" u="1"/>
      </sharedItems>
    </cacheField>
    <cacheField name="HONORARIO EMPRESA" numFmtId="0">
      <sharedItems containsSemiMixedTypes="0" containsString="0" containsNumber="1" containsInteger="1" minValue="31" maxValue="31"/>
    </cacheField>
    <cacheField name="TOTAL EMPRESA" numFmtId="0">
      <sharedItems containsSemiMixedTypes="0" containsString="0" containsNumber="1" containsInteger="1" minValue="32" maxValue="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DF16F052-B3E1-466F-BB5A-3079F71561C7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0"/>
  </r>
  <r>
    <n v="3"/>
    <x v="1"/>
    <x v="0"/>
    <x v="1"/>
    <x v="1"/>
    <x v="1"/>
    <x v="1"/>
    <x v="1"/>
    <x v="1"/>
    <x v="1"/>
    <x v="1"/>
    <x v="1"/>
    <x v="1"/>
    <x v="1"/>
    <x v="1"/>
    <x v="1"/>
    <x v="1"/>
    <x v="1"/>
    <x v="1"/>
    <n v="17"/>
  </r>
  <r>
    <n v="4"/>
    <x v="1"/>
    <x v="0"/>
    <x v="1"/>
    <x v="1"/>
    <x v="1"/>
    <x v="2"/>
    <x v="2"/>
    <x v="1"/>
    <x v="1"/>
    <x v="1"/>
    <x v="1"/>
    <x v="2"/>
    <x v="2"/>
    <x v="1"/>
    <x v="1"/>
    <x v="1"/>
    <x v="1"/>
    <x v="1"/>
    <n v="4"/>
  </r>
  <r>
    <n v="5"/>
    <x v="2"/>
    <x v="1"/>
    <x v="2"/>
    <x v="2"/>
    <x v="2"/>
    <x v="3"/>
    <x v="2"/>
    <x v="1"/>
    <x v="2"/>
    <x v="2"/>
    <x v="2"/>
    <x v="2"/>
    <x v="3"/>
    <x v="1"/>
    <x v="2"/>
    <x v="2"/>
    <x v="2"/>
    <x v="2"/>
    <m/>
  </r>
  <r>
    <n v="6"/>
    <x v="3"/>
    <x v="1"/>
    <x v="2"/>
    <x v="2"/>
    <x v="1"/>
    <x v="3"/>
    <x v="2"/>
    <x v="1"/>
    <x v="2"/>
    <x v="2"/>
    <x v="2"/>
    <x v="3"/>
    <x v="4"/>
    <x v="1"/>
    <x v="2"/>
    <x v="1"/>
    <x v="1"/>
    <x v="2"/>
    <n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2"/>
    <n v="23"/>
  </r>
  <r>
    <n v="3"/>
    <x v="1"/>
    <x v="0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n v="17"/>
  </r>
  <r>
    <n v="4"/>
    <x v="1"/>
    <x v="0"/>
    <x v="1"/>
    <x v="1"/>
    <x v="1"/>
    <x v="2"/>
    <x v="2"/>
    <x v="1"/>
    <x v="1"/>
    <x v="1"/>
    <x v="1"/>
    <x v="2"/>
    <x v="2"/>
    <x v="1"/>
    <x v="1"/>
    <x v="1"/>
    <x v="1"/>
    <x v="1"/>
    <x v="2"/>
    <x v="2"/>
    <m/>
    <n v="4"/>
  </r>
  <r>
    <n v="5"/>
    <x v="2"/>
    <x v="1"/>
    <x v="2"/>
    <x v="2"/>
    <x v="2"/>
    <x v="3"/>
    <x v="2"/>
    <x v="1"/>
    <x v="2"/>
    <x v="2"/>
    <x v="2"/>
    <x v="2"/>
    <x v="3"/>
    <x v="1"/>
    <x v="2"/>
    <x v="1"/>
    <x v="1"/>
    <x v="2"/>
    <x v="3"/>
    <x v="3"/>
    <m/>
    <m/>
  </r>
  <r>
    <n v="6"/>
    <x v="3"/>
    <x v="1"/>
    <x v="2"/>
    <x v="2"/>
    <x v="3"/>
    <x v="3"/>
    <x v="2"/>
    <x v="1"/>
    <x v="2"/>
    <x v="2"/>
    <x v="2"/>
    <x v="3"/>
    <x v="4"/>
    <x v="1"/>
    <x v="2"/>
    <x v="2"/>
    <x v="2"/>
    <x v="2"/>
    <x v="1"/>
    <x v="4"/>
    <s v="teste"/>
    <n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n v="2"/>
    <n v="3"/>
    <x v="0"/>
    <n v="5"/>
    <n v="6"/>
    <x v="0"/>
    <x v="0"/>
    <x v="0"/>
    <x v="0"/>
    <n v="11"/>
    <n v="12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  <n v="33"/>
  </r>
  <r>
    <n v="3"/>
    <d v="1900-01-13T00:00:00"/>
    <n v="1"/>
    <x v="1"/>
    <d v="2021-03-02T00:00:00"/>
    <m/>
    <x v="1"/>
    <x v="1"/>
    <x v="1"/>
    <x v="1"/>
    <s v="raio"/>
    <n v="100"/>
    <n v="100"/>
    <n v="0"/>
    <n v="0"/>
    <n v="0"/>
    <n v="0"/>
    <n v="0"/>
    <n v="0"/>
    <n v="101"/>
    <n v="201"/>
    <n v="402"/>
    <s v="NEWE"/>
    <m/>
    <m/>
    <s v="Equipamentos"/>
    <n v="0"/>
    <n v="0"/>
    <n v="0"/>
    <x v="1"/>
    <n v="200"/>
    <n v="502"/>
    <d v="2021-03-25T00:00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n v="4"/>
    <n v="5"/>
    <x v="0"/>
    <n v="7"/>
    <n v="8"/>
    <x v="0"/>
    <n v="10"/>
    <x v="0"/>
    <x v="0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22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2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">
        <item x="0"/>
        <item m="1" x="2"/>
        <item m="1" x="4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4"/>
        <item h="1" m="1" x="2"/>
        <item h="1" m="1" x="6"/>
        <item h="1" m="1" x="3"/>
        <item h="1" m="1" x="1"/>
        <item h="1" m="1" x="7"/>
        <item h="1" m="1" x="8"/>
        <item h="1" m="1" x="5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1">
        <item m="1" x="6"/>
        <item m="1" x="7"/>
        <item m="1" x="2"/>
        <item m="1" x="3"/>
        <item m="1" x="9"/>
        <item m="1" x="1"/>
        <item m="1" x="10"/>
        <item m="1" x="4"/>
        <item m="1" x="5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8">
        <item x="0"/>
        <item m="1" x="7"/>
        <item m="1" x="4"/>
        <item m="1" x="6"/>
        <item m="1" x="5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5"/>
    <field x="8"/>
    <field x="10"/>
    <field x="11"/>
    <field x="2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21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F6" firstHeaderRow="1" firstDataRow="1" firstDataCol="6"/>
  <pivotFields count="33"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m="1" x="3"/>
        <item h="1" m="1" x="5"/>
        <item h="1" m="1" x="4"/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9">
        <item m="1" x="5"/>
        <item m="1" x="8"/>
        <item m="1" x="3"/>
        <item m="1" x="4"/>
        <item m="1" x="7"/>
        <item m="1" x="6"/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8">
        <item x="1"/>
        <item m="1" x="4"/>
        <item m="1" x="7"/>
        <item m="1" x="3"/>
        <item m="1" x="2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7"/>
    <field x="8"/>
    <field x="9"/>
    <field x="3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6BB4B-D74A-4F1F-B7B8-6CB38E854F33}" name="Tabela dinâmicaPagar" cacheId="4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R8" firstHeaderRow="1" firstDataRow="1" firstDataCol="18"/>
  <pivotFields count="2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4"/>
        <item x="0"/>
        <item m="1" x="3"/>
        <item m="1" x="5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x="1"/>
        <item x="0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2"/>
        <item m="1" x="3"/>
        <item m="1" x="5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3"/>
        <item m="1" x="5"/>
        <item m="1" x="4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1">
        <item m="1" x="7"/>
        <item m="1" x="6"/>
        <item m="1" x="5"/>
        <item m="1" x="8"/>
        <item m="1" x="10"/>
        <item m="1" x="9"/>
        <item x="1"/>
        <item x="0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x="1"/>
        <item m="1" x="4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5">
    <i>
      <x/>
      <x v="1"/>
      <x/>
      <x v="2"/>
      <x v="5"/>
      <x v="4"/>
      <x v="2"/>
      <x v="2"/>
      <x/>
      <x v="2"/>
      <x v="2"/>
      <x v="2"/>
      <x v="7"/>
      <x v="1"/>
      <x/>
      <x/>
      <x v="3"/>
      <x v="1"/>
    </i>
    <i>
      <x v="1"/>
      <x v="1"/>
      <x v="1"/>
      <x v="1"/>
      <x v="4"/>
      <x v="3"/>
      <x v="1"/>
      <x/>
      <x v="1"/>
      <x v="1"/>
      <x v="1"/>
      <x v="1"/>
      <x v="6"/>
      <x/>
      <x v="1"/>
      <x v="1"/>
      <x v="1"/>
      <x v="2"/>
    </i>
    <i r="5">
      <x v="5"/>
      <x/>
      <x/>
      <x v="1"/>
      <x v="1"/>
      <x v="1"/>
      <x/>
      <x v="8"/>
      <x/>
      <x v="1"/>
      <x v="1"/>
      <x v="1"/>
      <x v="2"/>
    </i>
    <i>
      <x v="2"/>
      <x v="5"/>
      <x v="2"/>
      <x v="4"/>
      <x/>
      <x/>
      <x/>
      <x/>
      <x v="2"/>
      <x/>
      <x/>
      <x/>
      <x v="9"/>
      <x/>
      <x v="2"/>
      <x v="2"/>
      <x v="4"/>
      <x v="3"/>
    </i>
    <i>
      <x v="3"/>
      <x v="5"/>
      <x v="2"/>
      <x v="4"/>
      <x v="4"/>
      <x/>
      <x/>
      <x/>
      <x v="2"/>
      <x/>
      <x/>
      <x v="3"/>
      <x v="10"/>
      <x/>
      <x v="2"/>
      <x v="1"/>
      <x v="1"/>
      <x v="3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AFE43-23D0-4122-9709-AC98AF51071C}" name="Tabela dinâmicaDespesa" cacheId="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E4" firstHeaderRow="1" firstDataRow="1" firstDataCol="5"/>
  <pivotFields count="6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1">
        <item m="1" x="3"/>
        <item m="1" x="1"/>
        <item n="500" m="1" x="8"/>
        <item m="1" x="5"/>
        <item m="1" x="4"/>
        <item m="1" x="9"/>
        <item m="1" x="6"/>
        <item m="1" x="7"/>
        <item m="1"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m="1" x="7"/>
        <item m="1" x="2"/>
        <item m="1" x="6"/>
        <item x="0"/>
        <item m="1" x="4"/>
        <item m="1" x="8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m="1" x="2"/>
        <item m="1" x="1"/>
        <item m="1" x="3"/>
        <item x="0"/>
        <item m="1" x="6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3"/>
    <field x="5"/>
  </rowFields>
  <rowItems count="1">
    <i>
      <x v="4"/>
      <x v="4"/>
      <x v="3"/>
      <x v="10"/>
      <x v="3"/>
    </i>
  </rowItems>
  <colItems count="1">
    <i/>
  </colItems>
  <formats count="1">
    <format dxfId="98">
      <pivotArea dataOnly="0" labelOnly="1" outline="0" fieldPosition="0">
        <references count="1">
          <reference field="3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29AD9A-2811-4F49-9261-249B66C5B634}" name="Tabela dinâmicaReceber" cacheId="177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T8" firstHeaderRow="1" firstDataRow="1" firstDataCol="20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4"/>
        <item m="1" x="9"/>
        <item m="1" x="5"/>
        <item m="1" x="6"/>
        <item m="1" x="7"/>
        <item m="1" x="8"/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m="1" x="5"/>
        <item m="1" x="4"/>
        <item x="1"/>
        <item x="0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9">
        <item m="1" x="7"/>
        <item x="3"/>
        <item x="2"/>
        <item m="1" x="5"/>
        <item m="1" x="6"/>
        <item m="1" x="4"/>
        <item m="1"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3"/>
        <item m="1" x="6"/>
        <item m="1" x="5"/>
        <item m="1" x="4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1"/>
        <item m="1" x="5"/>
        <item m="1" x="3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2"/>
        <item m="1" x="5"/>
        <item m="1" x="6"/>
        <item m="1" x="4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2">
        <item m="1" x="5"/>
        <item m="1" x="11"/>
        <item m="1" x="7"/>
        <item m="1" x="10"/>
        <item m="1" x="9"/>
        <item m="1" x="8"/>
        <item m="1" x="6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6">
        <item m="1" x="3"/>
        <item m="1" x="5"/>
        <item m="1" x="4"/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6">
        <item m="1" x="4"/>
        <item m="1" x="5"/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m="1" x="4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4"/>
        <item m="1" x="16"/>
        <item m="1" x="12"/>
        <item m="1" x="8"/>
        <item m="1" x="10"/>
        <item m="1" x="13"/>
        <item m="1" x="15"/>
        <item m="1" x="19"/>
        <item m="1" x="7"/>
        <item m="1" x="18"/>
        <item m="1" x="17"/>
        <item m="1" x="6"/>
        <item m="1" x="11"/>
        <item m="1" x="9"/>
        <item x="0"/>
        <item x="1"/>
        <item x="2"/>
        <item x="3"/>
        <item m="1" x="5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1"/>
    <field x="19"/>
    <field x="4"/>
    <field x="2"/>
    <field x="3"/>
    <field x="5"/>
    <field x="6"/>
    <field x="7"/>
    <field x="8"/>
    <field x="9"/>
    <field x="10"/>
    <field x="11"/>
    <field x="12"/>
    <field x="13"/>
    <field x="20"/>
    <field x="14"/>
    <field x="15"/>
    <field x="16"/>
    <field x="17"/>
    <field x="18"/>
  </rowFields>
  <rowItems count="5">
    <i>
      <x/>
      <x v="3"/>
      <x v="4"/>
      <x v="8"/>
      <x v="2"/>
      <x v="7"/>
      <x v="4"/>
      <x v="3"/>
      <x v="5"/>
      <x/>
      <x v="1"/>
      <x v="1"/>
      <x v="4"/>
      <x v="7"/>
      <x v="14"/>
      <x v="4"/>
      <x/>
      <x/>
      <x v="3"/>
      <x/>
    </i>
    <i>
      <x v="1"/>
      <x v="4"/>
      <x v="3"/>
      <x v="8"/>
      <x/>
      <x v="8"/>
      <x v="5"/>
      <x v="4"/>
      <x/>
      <x v="1"/>
      <x v="2"/>
      <x v="2"/>
      <x v="5"/>
      <x v="8"/>
      <x v="15"/>
      <x v="3"/>
      <x v="1"/>
      <x v="1"/>
      <x v="4"/>
      <x v="1"/>
    </i>
    <i r="1">
      <x v="5"/>
      <x v="3"/>
      <x v="8"/>
      <x/>
      <x v="8"/>
      <x v="6"/>
      <x/>
      <x/>
      <x v="1"/>
      <x v="2"/>
      <x v="2"/>
      <x/>
      <x v="9"/>
      <x v="16"/>
      <x v="3"/>
      <x v="1"/>
      <x v="1"/>
      <x v="4"/>
      <x v="1"/>
    </i>
    <i>
      <x v="2"/>
      <x v="6"/>
      <x v="6"/>
      <x v="9"/>
      <x v="3"/>
      <x v="2"/>
      <x/>
      <x/>
      <x/>
      <x v="2"/>
      <x/>
      <x/>
      <x/>
      <x v="10"/>
      <x v="17"/>
      <x v="3"/>
      <x v="2"/>
      <x v="1"/>
      <x v="4"/>
      <x v="2"/>
    </i>
    <i>
      <x v="3"/>
      <x v="4"/>
      <x v="6"/>
      <x v="9"/>
      <x v="3"/>
      <x v="1"/>
      <x/>
      <x/>
      <x/>
      <x v="2"/>
      <x/>
      <x/>
      <x v="6"/>
      <x v="11"/>
      <x/>
      <x v="3"/>
      <x v="2"/>
      <x v="2"/>
      <x v="5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36B3458-6227-4CED-B094-B47F54A05C75}" sourceName="PERITO">
  <pivotTables>
    <pivotTable tabId="23" name="Tabela dinâmicaReceber"/>
  </pivotTables>
  <data>
    <tabular pivotCacheId="2036691246">
      <items count="4">
        <i x="0" s="1"/>
        <i x="3" s="1"/>
        <i x="2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B98BE949-90A4-424B-8A5D-CE6B75A7AFC5}" sourceName="STATUS">
  <pivotTables>
    <pivotTable tabId="23" name="Tabela dinâmicaReceber"/>
  </pivotTables>
  <data>
    <tabular pivotCacheId="2036691246">
      <items count="3">
        <i x="0" s="1"/>
        <i x="1" s="1"/>
        <i x="2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CD3CEA97-65EA-49C9-8119-00CBFF79769B}" sourceName="SEGURADORA">
  <pivotTables>
    <pivotTable tabId="23" name="Tabela dinâmicaReceber"/>
  </pivotTables>
  <data>
    <tabular pivotCacheId="2036691246">
      <items count="3">
        <i x="0" s="1"/>
        <i x="2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D6DDDC0E-98B8-4084-AF04-3AA4EDBEB0C0}" sourceName="PERITO">
  <pivotTables>
    <pivotTable tabId="24" name="Tabela dinâmicaPagar"/>
  </pivotTables>
  <data>
    <tabular pivotCacheId="1193964075">
      <items count="4">
        <i x="0" s="1"/>
        <i x="3" s="1"/>
        <i x="2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54644638-E475-46EE-9F55-E9A8151D0523}" sourceName="TIPO">
  <pivotTables>
    <pivotTable tabId="24" name="Tabela dinâmicaPagar"/>
  </pivotTables>
  <data>
    <tabular pivotCacheId="1193964075">
      <items count="3">
        <i x="0" s="1"/>
        <i x="2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4A6D3DD6-FEF7-44BC-AF31-694CBBFCF829}" sourceName="STATUS">
  <pivotTables>
    <pivotTable tabId="24" name="Tabela dinâmicaPagar"/>
  </pivotTables>
  <data>
    <tabular pivotCacheId="1193964075">
      <items count="3">
        <i x="0" s="1"/>
        <i x="1" s="1"/>
        <i x="2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20E602B1-DAEB-4C39-BE70-00964391EE8E}" sourceName="SEGURADORA">
  <pivotTables>
    <pivotTable tabId="24" name="Tabela dinâmicaPagar"/>
  </pivotTables>
  <data>
    <tabular pivotCacheId="1193964075">
      <items count="4">
        <i x="0" s="1"/>
        <i x="2" s="1"/>
        <i x="1" s="1"/>
        <i x="3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1C3927A2-322F-4247-AF50-FE3F498098ED}" sourceName="TIPO">
  <pivotTables>
    <pivotTable tabId="23" name="Tabela dinâmicaReceber"/>
  </pivotTables>
  <data>
    <tabular pivotCacheId="2036691246">
      <items count="3">
        <i x="0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7A734EBF-3444-4095-9478-BEFFF83CC6FB}" cache="SegmentaçãodeDados_PERITO1" caption="PERITO" style="SlicerStyleLight6" rowHeight="241300"/>
  <slicer name="STATUS 3" xr10:uid="{2DF22EE8-F8C4-41DE-8848-8522053D3481}" cache="SegmentaçãodeDados_STATUS1" caption="STATUS" style="SlicerStyleLight6" rowHeight="241300"/>
  <slicer name="SEGURADORA 3" xr10:uid="{422D6E64-0BFB-4A84-8CC3-CA74AE4084FC}" cache="SegmentaçãodeDados_SEGURADORA1" caption="SEGURADORA" style="SlicerStyleLight6" rowHeight="241300"/>
  <slicer name="TIPO 3" xr10:uid="{09FA412F-74BC-46C0-A246-4F949D7B1F42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A892F82A-8AEE-4D42-A704-45CCB0360C8E}" cache="SegmentaçãodeDados_PERITO1" caption="PERITO" style="SlicerStyleLight6" rowHeight="241300"/>
  <slicer name="STATUS" xr10:uid="{4481E6F6-F294-4F22-9CFA-018921299C03}" cache="SegmentaçãodeDados_STATUS1" caption="STATUS" style="SlicerStyleLight6" rowHeight="241300"/>
  <slicer name="SEGURADORA" xr10:uid="{90BB6E2F-3511-4209-A3F1-A0D50B09CAC5}" cache="SegmentaçãodeDados_SEGURADORA1" caption="SEGURADORA" style="SlicerStyleLight6" rowHeight="241300"/>
  <slicer name="TIPO 2" xr10:uid="{7749D7F1-1330-4F4A-A61D-7942A7684075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2" xr10:uid="{6E9262D0-6753-4919-A791-16B66269CBCA}" cache="SegmentaçãodeDados_PERITO2" caption="PERITO" style="SlicerStyleLight6" rowHeight="241300"/>
  <slicer name="TIPO" xr10:uid="{1119DDA3-C756-4B20-8483-D7614F105AF9}" cache="SegmentaçãodeDados_TIPO1" caption="TIPO" style="SlicerStyleLight6" rowHeight="241300"/>
  <slicer name="STATUS 2" xr10:uid="{50C4392E-0BE3-4631-9778-82D1187D220D}" cache="SegmentaçãodeDados_STATUS2" caption="STATUS" style="SlicerStyleLight6" rowHeight="241300"/>
  <slicer name="SEGURADORA 2" xr10:uid="{E7D81035-71F3-40E0-8F4C-F8416E7C39D6}" cache="SegmentaçãodeDados_SEGURADORA2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T6" totalsRowShown="0" headerRowDxfId="97">
  <tableColumns count="20">
    <tableColumn id="19" xr3:uid="{2BF1A4A0-3B50-4890-B206-F2DF1E76B05D}" name="ID" dataDxfId="96"/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95"/>
    <tableColumn id="1" xr3:uid="{77AE40CE-3180-4CA9-AF9A-E8E268E57070}" name="HONORÁRIO R$ " dataDxfId="94" dataCellStyle="Moeda"/>
    <tableColumn id="2" xr3:uid="{6F9E0BA6-9BFB-48EC-81A9-18A0C396E8C9}" name="VALOR KM R$" dataDxfId="93" dataCellStyle="Moeda"/>
    <tableColumn id="3" xr3:uid="{EFD808ED-DC52-4A8B-8292-EEE34A3916AF}" name="HOTEL" dataDxfId="92" dataCellStyle="Moeda"/>
    <tableColumn id="4" xr3:uid="{BFA1101A-73FE-46DC-B3F1-F20D674333D9}" name="REFEIÇÃO" dataDxfId="91" dataCellStyle="Moeda"/>
    <tableColumn id="5" xr3:uid="{2AB446A3-0EB9-4068-9FF5-68786833A420}" name="PEDÁGIO " dataDxfId="90" dataCellStyle="Moeda"/>
    <tableColumn id="6" xr3:uid="{7C7FA53D-199C-4600-B839-1C253EB0843B}" name="PASSAGEM ÁERA" dataDxfId="89" dataCellStyle="Moeda"/>
    <tableColumn id="7" xr3:uid="{5487AAEC-0686-4909-95E7-E3F065BAE407}" name="ALUGUEL CARRO " dataDxfId="88" dataCellStyle="Moeda"/>
    <tableColumn id="8" xr3:uid="{6E97A9B3-7F8F-4AD1-A51A-8D0518668E1F}" name="OUTROS " dataDxfId="87" dataCellStyle="Moeda"/>
    <tableColumn id="9" xr3:uid="{345BE897-50CE-4CAF-9542-ACF3BDCA9A38}" name=" TOTAL " dataDxfId="86" dataCellStyle="Moeda"/>
    <tableColumn id="10" xr3:uid="{C5ADE4FF-938E-41F2-9268-65D68FC97B10}" name="DT LANCAMENTO" dataDxfId="85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  <tableColumn id="21" xr3:uid="{80209578-BFC4-4311-B776-BDCFB842AE2F}" name="ID ORIGEM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W6" totalsRowShown="0" headerRowDxfId="84">
  <tableColumns count="23">
    <tableColumn id="22" xr3:uid="{8B361729-753C-4A46-A5E1-1C1A8CAC1337}" name="ID"/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83"/>
    <tableColumn id="5" xr3:uid="{FC594FDD-E27C-412B-BCBC-53D7FF856FF3}" name="HONORÁRIO R$ " dataDxfId="82" dataCellStyle="Moeda"/>
    <tableColumn id="6" xr3:uid="{CE20EE4A-66EF-49C9-8277-0F91D4EAE8A0}" name="VALOR KM R$" dataDxfId="81" dataCellStyle="Moeda"/>
    <tableColumn id="7" xr3:uid="{5DDDE08F-D634-4BC9-9259-00A68BBAA7A0}" name="HOTEL" dataDxfId="80" dataCellStyle="Moeda"/>
    <tableColumn id="8" xr3:uid="{3303D9EF-E342-45CF-8457-EB7BFC724009}" name="REFEIÇÃO" dataDxfId="79" dataCellStyle="Moeda"/>
    <tableColumn id="9" xr3:uid="{C7166C86-DE25-480F-BF56-18061E37717C}" name="PEDÁGIO " dataDxfId="78" dataCellStyle="Moeda"/>
    <tableColumn id="10" xr3:uid="{79AD7756-F982-40B3-A840-1D887EDE4D08}" name="PASSAGEM ÁERA" dataDxfId="77" dataCellStyle="Moeda"/>
    <tableColumn id="11" xr3:uid="{763DF7A8-12FD-414C-A335-DD672F61971C}" name="ALUGUEL CARRO" dataDxfId="76" dataCellStyle="Moeda"/>
    <tableColumn id="12" xr3:uid="{D92A590C-1934-4CF3-9A88-FDA9781B8EC9}" name="OUTROS " dataDxfId="75" dataCellStyle="Moeda"/>
    <tableColumn id="13" xr3:uid="{3ED0E5F1-62E9-4527-B42C-2B2CF57B6AD4}" name="TOTAL " dataDxfId="74" dataCellStyle="Moeda"/>
    <tableColumn id="14" xr3:uid="{2EB34EF3-4C41-4099-9921-DB8E920647FC}" name="DT LANCAMENTO" dataDxfId="73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9" xr3:uid="{5F059973-0658-4A13-A91F-BD75CBD570B9}" name="SEGURADORA"/>
    <tableColumn id="20" xr3:uid="{2A5EC017-6D4C-4EDB-8B6C-8D0514115EEC}" name="NF"/>
    <tableColumn id="21" xr3:uid="{F14695BA-6BDA-4F14-ABF7-16A32EFA55CA}" name="SALDO" dataDxfId="72" dataCellStyle="Moeda"/>
    <tableColumn id="16" xr3:uid="{05E773C7-4F15-422B-8F54-364EAE748468}" name="Obs"/>
    <tableColumn id="23" xr3:uid="{FA5530BE-8092-4938-9958-CA55AB4AFB2D}" name="ID ORIGEM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G3" totalsRowShown="0" headerRowDxfId="71">
  <tableColumns count="33">
    <tableColumn id="40" xr3:uid="{714006E4-4440-451B-8AFE-28A443D17FD3}" name="ID" dataDxfId="70"/>
    <tableColumn id="1" xr3:uid="{4CEAFE11-4BD7-40FD-A919-BB52A3784B3A}" name="DT AVISO" dataDxfId="69"/>
    <tableColumn id="2" xr3:uid="{8D491FBA-8D6E-4D68-9169-C6C807F705B7}" name="NF" dataDxfId="68"/>
    <tableColumn id="3" xr3:uid="{894BE3F1-C62B-4DDF-B040-E03CA1F61E2E}" name="DT VISTORIA " dataDxfId="67"/>
    <tableColumn id="4" xr3:uid="{3A5AA30B-7316-4054-B0A5-D3050BE0A17C}" name="DT REVISTORIA" dataDxfId="66"/>
    <tableColumn id="5" xr3:uid="{5762346C-BDE6-44E8-817C-91E54D27767E}" name="APÓLICE " dataDxfId="65"/>
    <tableColumn id="24" xr3:uid="{A430FF16-32B9-4825-820C-70015B1C820E}" name="SINISTRO" dataDxfId="64"/>
    <tableColumn id="6" xr3:uid="{1A60546F-FB43-46BD-B179-C75C28C7C994}" name="SEGURADO" dataDxfId="63"/>
    <tableColumn id="7" xr3:uid="{06FB21F9-D567-4FEB-B23F-94CC67035500}" name="MUNICIPIO " dataDxfId="62"/>
    <tableColumn id="8" xr3:uid="{F52919A1-EC7D-458F-BDD0-083E74A6B0AB}" name="UF" dataDxfId="61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60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59" dataCellStyle="Moeda"/>
    <tableColumn id="14" xr3:uid="{78FF7EDB-582E-42FD-9799-DD4D37C1C0BE}" name="HOTEL " dataDxfId="58" dataCellStyle="Moeda"/>
    <tableColumn id="15" xr3:uid="{B33CE678-346F-49DF-BDA4-44C123CB1EF8}" name="REFEIÇÃO " dataDxfId="57" dataCellStyle="Moeda"/>
    <tableColumn id="16" xr3:uid="{7E3D7E2A-6E12-4FB3-9C91-02FE40C27F4D}" name="PASSAGEM ÁERA" dataDxfId="56" dataCellStyle="Moeda"/>
    <tableColumn id="17" xr3:uid="{AFEBA063-285D-4E1F-BD7C-E0BB8AA9BFC3}" name="ALUGUEL CARRO " dataDxfId="55" dataCellStyle="Moeda"/>
    <tableColumn id="18" xr3:uid="{80376310-22C8-4669-BBCC-9445A8931644}" name="OUTROS " dataDxfId="54" dataCellStyle="Moeda"/>
    <tableColumn id="25" xr3:uid="{4338F209-0C34-4043-B3EF-73F4C9A9DD65}" name="TOTAL  " dataDxfId="53" dataCellStyle="Moeda"/>
    <tableColumn id="29" xr3:uid="{E0CE4C5D-9BCC-47F6-A2E2-F49599CE0090}" name="SEGURADORA" dataDxfId="52" dataCellStyle="Moeda"/>
    <tableColumn id="33" xr3:uid="{F8322728-BB10-40FA-8AB8-DAF0301387D8}" name="STATUS SEGURADORA" dataDxfId="51" dataCellStyle="Moeda"/>
    <tableColumn id="32" xr3:uid="{3C189627-5587-4747-A956-BF68E01F2C6F}" name="STATUS PERITO" dataDxfId="50" dataCellStyle="Moeda"/>
    <tableColumn id="35" xr3:uid="{6770BC5D-821D-4022-9E02-51C0CF6AF282}" name="TIPO DO BEM" dataDxfId="49" dataCellStyle="Moeda"/>
    <tableColumn id="34" xr3:uid="{1C80A2A2-BE52-4BB6-8774-903C65676CB5}" name="DT LANÇAMENTO " dataDxfId="48" dataCellStyle="Moeda"/>
    <tableColumn id="28" xr3:uid="{E07BC76D-0CFE-49DF-8CA9-85BBECE75005}" name="KM RODADO EMPRESA" dataDxfId="47" dataCellStyle="Moeda"/>
    <tableColumn id="30" xr3:uid="{30F79F53-5CD6-4EB9-94EF-A05E8F2343B6}" name="KM R$ EMPR" dataDxfId="46" dataCellStyle="Moeda"/>
    <tableColumn id="31" xr3:uid="{2380923C-36D4-4A7F-A0F6-18D6CC83AF87}" name="DT AGENDAMENTO" dataDxfId="45" dataCellStyle="Moeda"/>
    <tableColumn id="36" xr3:uid="{440922AD-B26B-45F7-845A-22AE6BCB39F0}" name="HONORARIO EMPRESA" dataDxfId="44" dataCellStyle="Moeda"/>
    <tableColumn id="19" xr3:uid="{6606E2F6-6FBE-42AD-B08C-73D5D56070BC}" name="TOTAL EMPRESA" dataDxfId="43" dataCellStyle="Moeda"/>
    <tableColumn id="39" xr3:uid="{98390F08-71E5-4BA4-AE68-D74332EE023B}" name="DT ENCERRAMENTO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F2" totalsRowShown="0" headerRowDxfId="42" dataDxfId="41">
  <tableColumns count="32">
    <tableColumn id="36" xr3:uid="{C806CD06-C70C-4CE7-BF63-7EBE82899DDA}" name="ID" dataDxfId="40"/>
    <tableColumn id="1" xr3:uid="{01FEB0E5-52BE-4347-BF57-CD16D27B937B}" name="DT RECEBIMENTO" dataDxfId="39"/>
    <tableColumn id="2" xr3:uid="{42D256E5-7905-43C7-B146-BAE1FF4F13EA}" name="DT VISTORIA" dataDxfId="38"/>
    <tableColumn id="3" xr3:uid="{BCCE59B5-8188-4C7C-95C2-715E226A28AA}" name="DT ENTREGA " dataDxfId="37"/>
    <tableColumn id="4" xr3:uid="{DD2FFDF0-7DCD-40B2-BE5B-713ED98D0855}" name="NF" dataDxfId="36"/>
    <tableColumn id="5" xr3:uid="{71C6BD3C-6436-486E-BD85-7935791CB966}" name="SINISTRO" dataDxfId="35"/>
    <tableColumn id="6" xr3:uid="{D289DEB5-E97A-4D43-B4F7-902CC070659C}" name="APÓLICE" dataDxfId="34"/>
    <tableColumn id="7" xr3:uid="{06DE9BC2-A40D-4D00-BB45-8E4F7789BE84}" name="PROPOSTA" dataDxfId="33"/>
    <tableColumn id="8" xr3:uid="{938EE5F6-C4CC-47A2-9716-BA14675A1CC0}" name="SEGURADO" dataDxfId="32"/>
    <tableColumn id="9" xr3:uid="{D988F2E0-5D14-403F-819E-52EE981BC7FA}" name="OBS:" dataDxfId="31"/>
    <tableColumn id="10" xr3:uid="{659F1C80-4C76-438C-8F31-6EEC136904EB}" name="MUNICIPIO " dataDxfId="30"/>
    <tableColumn id="11" xr3:uid="{9196166A-5194-4CF9-9613-FDC45C0D52EA}" name="UF" dataDxfId="29"/>
    <tableColumn id="12" xr3:uid="{21394EE4-1694-4250-9E61-5F41B640ECB1}" name="EVENTO" dataDxfId="28"/>
    <tableColumn id="13" xr3:uid="{DD18FA28-11C2-476F-9046-202678EF194C}" name="CULTURA" dataDxfId="27"/>
    <tableColumn id="14" xr3:uid="{7248674C-5344-4C0C-B985-34FFF3D5C2F3}" name="PERITO " dataDxfId="26"/>
    <tableColumn id="15" xr3:uid="{4ED99905-9E0E-4E43-9CAE-6696B1D88A06}" name="VISTORIA" dataDxfId="25"/>
    <tableColumn id="16" xr3:uid="{E2ACA318-59D9-43A6-9327-66E1FCA97A60}" name="AREA SEGURADA" dataDxfId="24"/>
    <tableColumn id="17" xr3:uid="{EE10B1C6-6DEE-4AD7-9D78-EC246389C2FB}" name="AREA VISTORIADA" dataDxfId="23"/>
    <tableColumn id="18" xr3:uid="{5ABE2B95-8B65-4067-B07B-961E86DF955C}" name="SEGURADORA" dataDxfId="22" dataCellStyle="Moeda"/>
    <tableColumn id="19" xr3:uid="{D6D440C8-50F6-4EC7-BDE9-2DF3AA5771DF}" name="HONORÁRIO R$ " dataDxfId="21" dataCellStyle="Moeda"/>
    <tableColumn id="20" xr3:uid="{4AD21308-937E-4761-BA5D-93DFD5876314}" name="KM RODADO PERITO" dataDxfId="20" dataCellStyle="Moeda"/>
    <tableColumn id="21" xr3:uid="{81790E5F-9A10-4C4F-A097-2651C71B4AB6}" name="VALOR KM R$" dataDxfId="19" dataCellStyle="Moeda"/>
    <tableColumn id="22" xr3:uid="{D7762BF3-0B74-4974-8BBE-59556FD6DA92}" name="KM RODADO EMPRESA" dataDxfId="18" dataCellStyle="Moeda"/>
    <tableColumn id="23" xr3:uid="{57C0BB09-FF91-456C-B393-28ABAD52D8D9}" name="KM R$ EMPR" dataDxfId="17" dataCellStyle="Moeda"/>
    <tableColumn id="24" xr3:uid="{9C301590-1AAD-4F79-B66A-A6728FFFD7FC}" name="HOTEL" dataDxfId="16" dataCellStyle="Moeda"/>
    <tableColumn id="25" xr3:uid="{0B99CFC5-E242-496D-9958-804F0D1B521E}" name="REFEIÇÃO" dataDxfId="15" dataCellStyle="Moeda"/>
    <tableColumn id="26" xr3:uid="{2F92F6FA-422E-4D4B-BB4E-BA386F7AF1C0}" name="OUTROS " dataDxfId="14" dataCellStyle="Moeda"/>
    <tableColumn id="27" xr3:uid="{84553A7A-42D0-4471-AD1E-1A3BF4FEB1AD}" name="TOTAL " dataDxfId="13" dataCellStyle="Moeda"/>
    <tableColumn id="28" xr3:uid="{ED67970F-F0E5-46C6-98D9-1A7C91354E1F}" name="DT LANÇAMENTO " dataDxfId="12"/>
    <tableColumn id="29" xr3:uid="{9ADDC96C-C7C9-4998-B013-EAD28F652506}" name="DT AGENDAMENTO" dataDxfId="11"/>
    <tableColumn id="32" xr3:uid="{568C3FE9-4939-413F-A6FC-4C8FB185C602}" name="HONORARIO EMPRESA" dataDxfId="10"/>
    <tableColumn id="33" xr3:uid="{4CC820E2-94A2-41FC-A3CB-5A037A8EC99E}" name="TOTAL EMPRESA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BDD18D-DFD0-4AF3-8900-7982AC52EB72}" name="Tabela1" displayName="Tabela1" ref="A1:F2" totalsRowShown="0" headerRowDxfId="8">
  <tableColumns count="6">
    <tableColumn id="7" xr3:uid="{AB72712C-664B-4E8E-B26C-5FD862D79329}" name="ID" dataDxfId="7"/>
    <tableColumn id="1" xr3:uid="{DA340D10-7F29-480A-A754-44F7871A10D6}" name="DT LANCAMENTO" dataDxfId="6"/>
    <tableColumn id="2" xr3:uid="{77D29B8A-DDAB-4D4E-8035-022314B1FAA1}" name="DT PAGAMENTO"/>
    <tableColumn id="3" xr3:uid="{A464C728-C9A8-4AF0-A4F0-8AD4409F626B}" name="VALOR"/>
    <tableColumn id="4" xr3:uid="{4DDD5E82-7CC3-4C2D-A6FC-A1E0612BC4E4}" name="DESCRIÇÃO"/>
    <tableColumn id="5" xr3:uid="{641CCE2C-4C42-48ED-93D2-A42ADD368F0D}" name="FORNECEDOR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BDSeguradora" displayName="BDSeguradora" ref="A1:F16" totalsRowShown="0" dataCellStyle="Moeda">
  <autoFilter ref="A1:F16" xr:uid="{E0128D07-B018-4091-9CB3-BD39DDA972C1}"/>
  <tableColumns count="6">
    <tableColumn id="1" xr3:uid="{93640D5B-39C9-4EE3-9C9C-88CB4813A0DE}" name="CNPJ"/>
    <tableColumn id="2" xr3:uid="{ECABB9F3-3A2D-466F-A1D1-8345C75306F8}" name="NOME" dataDxfId="5"/>
    <tableColumn id="3" xr3:uid="{0354E08F-99E4-4602-A856-87F2606D5542}" name="ENDEREÇO"/>
    <tableColumn id="4" xr3:uid="{791EB34D-33AD-4D81-9993-B97ED301BA3B}" name="KM R$" dataDxfId="4" dataCellStyle="Moeda"/>
    <tableColumn id="5" xr3:uid="{605420F8-6CFD-43FC-98CD-F68974D03019}" name="REFEIÇÃO R$" dataDxfId="3" dataCellStyle="Moeda"/>
    <tableColumn id="6" xr3:uid="{E406B1A8-FE43-4F46-B098-C8F386E557B1}" name="HOSPEDAGEM R$" dataDxfId="2" dataCellStyle="Moeda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1">
  <autoFilter ref="A1:E25" xr:uid="{2EFAC822-781E-49A7-9E37-807F9A11773B}"/>
  <tableColumns count="5">
    <tableColumn id="1" xr3:uid="{37F6DF33-7318-454A-B809-8D15C227E196}" name="NOME" dataDxfId="0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workbookViewId="0">
      <selection activeCell="F2" sqref="F2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6"/>
  <sheetViews>
    <sheetView showGridLines="0" tabSelected="1" zoomScaleNormal="100" workbookViewId="0">
      <selection activeCell="D6" sqref="D6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14.7109375" bestFit="1" customWidth="1"/>
    <col min="6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76" t="s">
        <v>128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49"/>
      <c r="P2" s="13"/>
      <c r="Q2" s="13"/>
      <c r="R2" s="13"/>
    </row>
    <row r="4" spans="1:18" ht="21" x14ac:dyDescent="0.35">
      <c r="A4" s="77" t="s">
        <v>109</v>
      </c>
      <c r="B4" s="77"/>
      <c r="C4" s="77"/>
      <c r="D4" s="77"/>
      <c r="E4" s="77"/>
      <c r="F4" s="77"/>
      <c r="G4" s="13"/>
      <c r="I4" s="77" t="s">
        <v>129</v>
      </c>
      <c r="J4" s="77"/>
      <c r="K4" s="77"/>
      <c r="L4" s="77"/>
      <c r="M4" s="77"/>
      <c r="N4" s="77"/>
      <c r="O4" s="77"/>
    </row>
    <row r="6" spans="1:18" x14ac:dyDescent="0.25">
      <c r="A6" s="21" t="s">
        <v>51</v>
      </c>
      <c r="B6" s="21" t="s">
        <v>46</v>
      </c>
      <c r="C6" s="21" t="s">
        <v>47</v>
      </c>
      <c r="D6" s="21" t="s">
        <v>48</v>
      </c>
      <c r="E6" s="21" t="s">
        <v>44</v>
      </c>
      <c r="F6" s="21" t="s">
        <v>130</v>
      </c>
      <c r="I6" s="21" t="s">
        <v>84</v>
      </c>
      <c r="J6" s="21" t="s">
        <v>51</v>
      </c>
      <c r="K6" s="21" t="s">
        <v>46</v>
      </c>
      <c r="L6" s="21" t="s">
        <v>47</v>
      </c>
      <c r="M6" s="21" t="s">
        <v>48</v>
      </c>
      <c r="N6" s="21" t="s">
        <v>86</v>
      </c>
      <c r="O6" s="21" t="s">
        <v>130</v>
      </c>
    </row>
  </sheetData>
  <mergeCells count="3">
    <mergeCell ref="A2:N2"/>
    <mergeCell ref="I4:O4"/>
    <mergeCell ref="A4:F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15FE3-A839-4D8A-925B-4EF3F6F46D35}">
  <sheetPr codeName="Planilha12"/>
  <dimension ref="A1:T6"/>
  <sheetViews>
    <sheetView showGridLines="0" workbookViewId="0">
      <selection activeCell="J18" sqref="J18"/>
    </sheetView>
  </sheetViews>
  <sheetFormatPr defaultColWidth="0" defaultRowHeight="15" x14ac:dyDescent="0.25"/>
  <cols>
    <col min="1" max="1" width="9.140625" style="31" customWidth="1"/>
    <col min="2" max="2" width="12.85546875" style="31" customWidth="1"/>
    <col min="3" max="3" width="12.85546875" style="31" bestFit="1" customWidth="1"/>
    <col min="4" max="4" width="6.7109375" style="31" customWidth="1"/>
    <col min="5" max="20" width="9.140625" style="31" customWidth="1"/>
    <col min="21" max="16384" width="9.140625" style="31" hidden="1"/>
  </cols>
  <sheetData>
    <row r="1" spans="1:9" ht="39.75" customHeight="1" x14ac:dyDescent="0.25"/>
    <row r="2" spans="1:9" ht="15.75" x14ac:dyDescent="0.25">
      <c r="G2" s="55"/>
      <c r="H2" s="55"/>
      <c r="I2" s="55"/>
    </row>
    <row r="3" spans="1:9" ht="15.75" x14ac:dyDescent="0.25">
      <c r="A3" s="78" t="s">
        <v>309</v>
      </c>
      <c r="B3" s="78"/>
      <c r="C3" s="60">
        <f>TbDinamicaReceber!X18</f>
        <v>810.6</v>
      </c>
    </row>
    <row r="4" spans="1:9" ht="15.75" x14ac:dyDescent="0.25">
      <c r="A4" s="78" t="s">
        <v>307</v>
      </c>
      <c r="B4" s="78"/>
      <c r="C4" s="60">
        <f>TbDinamicaApagar!AG27</f>
        <v>307.2</v>
      </c>
      <c r="D4" s="58">
        <f>(C4+C5)/C3</f>
        <v>0.37897853441894891</v>
      </c>
      <c r="E4" s="59">
        <f>1-D4</f>
        <v>0.62102146558105109</v>
      </c>
    </row>
    <row r="5" spans="1:9" ht="15.75" x14ac:dyDescent="0.25">
      <c r="A5" s="78" t="s">
        <v>308</v>
      </c>
      <c r="B5" s="78"/>
      <c r="C5" s="60">
        <f>TbDinamicaDespesas!I3</f>
        <v>0</v>
      </c>
      <c r="D5" s="56"/>
      <c r="E5" s="57"/>
    </row>
    <row r="6" spans="1:9" ht="15.75" x14ac:dyDescent="0.25">
      <c r="A6" s="79" t="s">
        <v>303</v>
      </c>
      <c r="B6" s="79"/>
      <c r="C6" s="61">
        <f>C3-(C4+C5)</f>
        <v>503.40000000000003</v>
      </c>
    </row>
  </sheetData>
  <mergeCells count="4">
    <mergeCell ref="A3:B3"/>
    <mergeCell ref="A4:B4"/>
    <mergeCell ref="A6:B6"/>
    <mergeCell ref="A5:B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2"/>
  <sheetViews>
    <sheetView showGridLines="0" workbookViewId="0">
      <selection activeCell="H11" sqref="H11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55"/>
      <c r="H2" s="55"/>
      <c r="I2" s="55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40"/>
  <sheetViews>
    <sheetView showGridLines="0" workbookViewId="0">
      <selection activeCell="H11" sqref="H11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9" spans="15:17" ht="15.75" x14ac:dyDescent="0.25">
      <c r="O19" s="80"/>
      <c r="P19" s="80"/>
      <c r="Q19" s="80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27"/>
  <sheetViews>
    <sheetView workbookViewId="0">
      <selection activeCell="AG3" sqref="AG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1.42578125" customWidth="1"/>
    <col min="14" max="14" width="18.7109375" bestFit="1" customWidth="1"/>
    <col min="16" max="16" width="15.5703125" bestFit="1" customWidth="1"/>
    <col min="18" max="18" width="15.5703125" bestFit="1" customWidth="1"/>
    <col min="19" max="19" width="7.42578125" bestFit="1" customWidth="1"/>
    <col min="21" max="21" width="31.140625" bestFit="1" customWidth="1"/>
    <col min="22" max="22" width="11.7109375" style="8" customWidth="1"/>
    <col min="23" max="23" width="10.85546875" customWidth="1"/>
    <col min="24" max="24" width="35" bestFit="1" customWidth="1"/>
    <col min="25" max="25" width="17.140625" style="8" customWidth="1"/>
    <col min="26" max="26" width="3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10.140625" bestFit="1" customWidth="1"/>
  </cols>
  <sheetData>
    <row r="1" spans="1:33" ht="38.25" customHeight="1" x14ac:dyDescent="0.25">
      <c r="U1" s="81" t="s">
        <v>301</v>
      </c>
      <c r="V1" s="81"/>
      <c r="W1" s="81"/>
    </row>
    <row r="2" spans="1:33" x14ac:dyDescent="0.25">
      <c r="U2" s="30" t="s">
        <v>293</v>
      </c>
      <c r="V2" s="54" t="s">
        <v>291</v>
      </c>
      <c r="X2" s="30" t="s">
        <v>302</v>
      </c>
      <c r="Y2" s="30" t="s">
        <v>114</v>
      </c>
      <c r="Z2" s="30" t="s">
        <v>61</v>
      </c>
      <c r="AA2" s="30" t="s">
        <v>64</v>
      </c>
      <c r="AB2" s="30" t="s">
        <v>65</v>
      </c>
      <c r="AC2" s="30" t="s">
        <v>115</v>
      </c>
      <c r="AD2" s="30" t="s">
        <v>97</v>
      </c>
      <c r="AE2" s="30" t="s">
        <v>113</v>
      </c>
      <c r="AF2" s="30" t="s">
        <v>66</v>
      </c>
      <c r="AG2" s="30" t="s">
        <v>67</v>
      </c>
    </row>
    <row r="3" spans="1:33" x14ac:dyDescent="0.25">
      <c r="A3" s="21" t="s">
        <v>105</v>
      </c>
      <c r="B3" s="21" t="s">
        <v>51</v>
      </c>
      <c r="C3" s="21" t="s">
        <v>108</v>
      </c>
      <c r="D3" s="21" t="s">
        <v>86</v>
      </c>
      <c r="E3" s="21" t="s">
        <v>114</v>
      </c>
      <c r="F3" s="21" t="s">
        <v>61</v>
      </c>
      <c r="G3" s="21" t="s">
        <v>64</v>
      </c>
      <c r="H3" s="21" t="s">
        <v>65</v>
      </c>
      <c r="I3" s="21" t="s">
        <v>115</v>
      </c>
      <c r="J3" s="21" t="s">
        <v>97</v>
      </c>
      <c r="K3" s="21" t="s">
        <v>113</v>
      </c>
      <c r="L3" s="21" t="s">
        <v>66</v>
      </c>
      <c r="M3" s="21" t="s">
        <v>67</v>
      </c>
      <c r="N3" s="21" t="s">
        <v>106</v>
      </c>
      <c r="O3" s="21" t="s">
        <v>107</v>
      </c>
      <c r="P3" s="21" t="s">
        <v>98</v>
      </c>
      <c r="Q3" s="21" t="s">
        <v>110</v>
      </c>
      <c r="R3" s="21" t="s">
        <v>85</v>
      </c>
      <c r="U3" s="35" t="s">
        <v>273</v>
      </c>
      <c r="V3" s="8">
        <f>SUMIF($R:$R,$U3,$M:$M)</f>
        <v>302</v>
      </c>
      <c r="X3" s="37" t="s">
        <v>131</v>
      </c>
      <c r="Y3" s="8">
        <f>SUMIF($A:$A,$X3,E:E)</f>
        <v>0</v>
      </c>
      <c r="Z3" s="8">
        <f>SUMIF($A:$A,$X3,F:F)</f>
        <v>0</v>
      </c>
      <c r="AA3" s="8">
        <f>SUMIF($A:$A,$X3,G:G)</f>
        <v>0</v>
      </c>
      <c r="AB3" s="8">
        <f t="shared" ref="AB3:AG18" si="0">SUMIF($A:$A,$X3,H:H)</f>
        <v>0</v>
      </c>
      <c r="AC3" s="8">
        <f t="shared" si="0"/>
        <v>0</v>
      </c>
      <c r="AD3" s="8">
        <f t="shared" si="0"/>
        <v>0</v>
      </c>
      <c r="AE3" s="8">
        <f t="shared" si="0"/>
        <v>0</v>
      </c>
      <c r="AF3" s="8">
        <f t="shared" si="0"/>
        <v>0</v>
      </c>
      <c r="AG3" s="8">
        <f t="shared" si="0"/>
        <v>0</v>
      </c>
    </row>
    <row r="4" spans="1:33" x14ac:dyDescent="0.25">
      <c r="A4" s="31">
        <v>2</v>
      </c>
      <c r="B4" s="31">
        <v>3</v>
      </c>
      <c r="C4" s="31">
        <v>4</v>
      </c>
      <c r="D4" s="31">
        <v>5</v>
      </c>
      <c r="E4" s="32">
        <v>6</v>
      </c>
      <c r="F4" s="32">
        <v>7</v>
      </c>
      <c r="G4" s="32">
        <v>8</v>
      </c>
      <c r="H4" s="32">
        <v>9</v>
      </c>
      <c r="I4" s="31">
        <v>10</v>
      </c>
      <c r="J4" s="31">
        <v>11</v>
      </c>
      <c r="K4" s="31">
        <v>12</v>
      </c>
      <c r="L4" s="32">
        <v>13</v>
      </c>
      <c r="M4" s="32">
        <v>14</v>
      </c>
      <c r="N4" s="1">
        <v>15</v>
      </c>
      <c r="O4" s="31">
        <v>16</v>
      </c>
      <c r="P4" s="31">
        <v>17</v>
      </c>
      <c r="Q4" s="31">
        <v>18</v>
      </c>
      <c r="R4" s="31">
        <v>19</v>
      </c>
      <c r="S4" s="31"/>
      <c r="T4" s="31"/>
      <c r="U4" s="36" t="s">
        <v>274</v>
      </c>
      <c r="V4" s="8">
        <f t="shared" ref="V4:V17" si="1">SUMIF($R:$R,$U4,$M:$M)</f>
        <v>206.2</v>
      </c>
      <c r="X4" s="38" t="s">
        <v>132</v>
      </c>
      <c r="Y4" s="8">
        <f t="shared" ref="Y4:Y26" si="2">SUMIF($A:$A,$X4,E:E)</f>
        <v>101</v>
      </c>
      <c r="Z4" s="8">
        <f t="shared" ref="Z4:Z26" si="3">SUMIF($A:$A,$X4,F:F)</f>
        <v>0</v>
      </c>
      <c r="AA4" s="8">
        <f t="shared" ref="AA4:AG26" si="4">SUMIF($A:$A,$X4,G:G)</f>
        <v>0</v>
      </c>
      <c r="AB4" s="8">
        <f t="shared" si="0"/>
        <v>0</v>
      </c>
      <c r="AC4" s="8">
        <f t="shared" si="0"/>
        <v>0</v>
      </c>
      <c r="AD4" s="8">
        <f t="shared" si="0"/>
        <v>0</v>
      </c>
      <c r="AE4" s="8">
        <f t="shared" si="0"/>
        <v>0</v>
      </c>
      <c r="AF4" s="8">
        <f t="shared" si="0"/>
        <v>0</v>
      </c>
      <c r="AG4" s="8">
        <f t="shared" si="0"/>
        <v>101</v>
      </c>
    </row>
    <row r="5" spans="1:33" x14ac:dyDescent="0.25">
      <c r="A5" s="31" t="s">
        <v>153</v>
      </c>
      <c r="B5" s="31">
        <v>3</v>
      </c>
      <c r="C5" s="1">
        <v>2</v>
      </c>
      <c r="D5" s="1">
        <v>44280</v>
      </c>
      <c r="E5" s="32">
        <v>100</v>
      </c>
      <c r="F5" s="32">
        <v>1.2</v>
      </c>
      <c r="G5" s="32">
        <v>2</v>
      </c>
      <c r="H5" s="32">
        <v>0</v>
      </c>
      <c r="I5" s="31" t="s">
        <v>112</v>
      </c>
      <c r="J5" s="31" t="s">
        <v>112</v>
      </c>
      <c r="K5" s="31" t="s">
        <v>112</v>
      </c>
      <c r="L5" s="32">
        <v>3</v>
      </c>
      <c r="M5" s="32">
        <v>106.2</v>
      </c>
      <c r="N5" s="1">
        <v>44281</v>
      </c>
      <c r="O5" s="31" t="s">
        <v>116</v>
      </c>
      <c r="P5" s="31" t="s">
        <v>99</v>
      </c>
      <c r="Q5" s="31" t="s">
        <v>112</v>
      </c>
      <c r="R5" s="31" t="s">
        <v>274</v>
      </c>
      <c r="S5" s="31"/>
      <c r="T5" s="31"/>
      <c r="U5" s="35" t="s">
        <v>275</v>
      </c>
      <c r="V5" s="8">
        <f t="shared" si="1"/>
        <v>0</v>
      </c>
      <c r="X5" s="37" t="s">
        <v>133</v>
      </c>
      <c r="Y5" s="8">
        <f t="shared" si="2"/>
        <v>0</v>
      </c>
      <c r="Z5" s="8">
        <f t="shared" si="3"/>
        <v>0</v>
      </c>
      <c r="AA5" s="8">
        <f t="shared" si="4"/>
        <v>0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</row>
    <row r="6" spans="1:33" x14ac:dyDescent="0.25">
      <c r="A6" s="31" t="s">
        <v>153</v>
      </c>
      <c r="B6" s="31">
        <v>3</v>
      </c>
      <c r="C6" s="1">
        <v>2</v>
      </c>
      <c r="D6" s="1">
        <v>44280</v>
      </c>
      <c r="E6" s="32">
        <v>100</v>
      </c>
      <c r="F6" s="32" t="s">
        <v>112</v>
      </c>
      <c r="G6" s="32">
        <v>0</v>
      </c>
      <c r="H6" s="32">
        <v>0</v>
      </c>
      <c r="I6" s="31" t="s">
        <v>112</v>
      </c>
      <c r="J6" s="31" t="s">
        <v>112</v>
      </c>
      <c r="K6" s="31" t="s">
        <v>112</v>
      </c>
      <c r="L6" s="32">
        <v>0</v>
      </c>
      <c r="M6" s="32">
        <v>100</v>
      </c>
      <c r="N6" s="1">
        <v>44281</v>
      </c>
      <c r="O6" s="31" t="s">
        <v>116</v>
      </c>
      <c r="P6" s="31" t="s">
        <v>99</v>
      </c>
      <c r="Q6" s="31" t="s">
        <v>112</v>
      </c>
      <c r="R6" s="31" t="s">
        <v>274</v>
      </c>
      <c r="S6" s="31"/>
      <c r="T6" s="31"/>
      <c r="U6" s="36" t="s">
        <v>276</v>
      </c>
      <c r="V6" s="8">
        <f t="shared" si="1"/>
        <v>0</v>
      </c>
      <c r="X6" s="38" t="s">
        <v>134</v>
      </c>
      <c r="Y6" s="8">
        <f t="shared" si="2"/>
        <v>0</v>
      </c>
      <c r="Z6" s="8">
        <f t="shared" si="3"/>
        <v>0</v>
      </c>
      <c r="AA6" s="8">
        <f t="shared" si="4"/>
        <v>0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</row>
    <row r="7" spans="1:33" x14ac:dyDescent="0.25">
      <c r="A7" s="31" t="s">
        <v>132</v>
      </c>
      <c r="B7" s="31">
        <v>1</v>
      </c>
      <c r="C7" s="31" t="s">
        <v>112</v>
      </c>
      <c r="D7" s="31" t="s">
        <v>316</v>
      </c>
      <c r="E7" s="32">
        <v>101</v>
      </c>
      <c r="F7" s="32">
        <v>0</v>
      </c>
      <c r="G7" s="32">
        <v>0</v>
      </c>
      <c r="H7" s="32">
        <v>0</v>
      </c>
      <c r="I7" s="31">
        <v>0</v>
      </c>
      <c r="J7" s="31">
        <v>0</v>
      </c>
      <c r="K7" s="31">
        <v>0</v>
      </c>
      <c r="L7" s="32">
        <v>0</v>
      </c>
      <c r="M7" s="32">
        <v>101</v>
      </c>
      <c r="N7" s="1">
        <v>44281</v>
      </c>
      <c r="O7" s="31" t="s">
        <v>109</v>
      </c>
      <c r="P7" s="31" t="s">
        <v>288</v>
      </c>
      <c r="Q7" s="1">
        <v>44282</v>
      </c>
      <c r="R7" s="31" t="s">
        <v>273</v>
      </c>
      <c r="S7" s="31"/>
      <c r="T7" s="31"/>
      <c r="U7" s="35" t="s">
        <v>277</v>
      </c>
      <c r="V7" s="8">
        <f t="shared" si="1"/>
        <v>0</v>
      </c>
      <c r="X7" s="37" t="s">
        <v>135</v>
      </c>
      <c r="Y7" s="8">
        <f t="shared" si="2"/>
        <v>0</v>
      </c>
      <c r="Z7" s="8">
        <f t="shared" si="3"/>
        <v>0</v>
      </c>
      <c r="AA7" s="8">
        <f t="shared" si="4"/>
        <v>0</v>
      </c>
      <c r="AB7" s="8">
        <f t="shared" si="0"/>
        <v>0</v>
      </c>
      <c r="AC7" s="8">
        <f t="shared" si="0"/>
        <v>0</v>
      </c>
      <c r="AD7" s="8">
        <f t="shared" si="0"/>
        <v>0</v>
      </c>
      <c r="AE7" s="8">
        <f t="shared" si="0"/>
        <v>0</v>
      </c>
      <c r="AF7" s="8">
        <f t="shared" si="0"/>
        <v>0</v>
      </c>
      <c r="AG7" s="8">
        <f t="shared" si="0"/>
        <v>0</v>
      </c>
    </row>
    <row r="8" spans="1:33" x14ac:dyDescent="0.25">
      <c r="A8" s="31">
        <v>101</v>
      </c>
      <c r="B8" s="31">
        <v>1</v>
      </c>
      <c r="C8" s="31" t="s">
        <v>112</v>
      </c>
      <c r="D8" s="31" t="s">
        <v>316</v>
      </c>
      <c r="E8" s="32">
        <v>100</v>
      </c>
      <c r="F8" s="32">
        <v>0</v>
      </c>
      <c r="G8" s="32">
        <v>0</v>
      </c>
      <c r="H8" s="32">
        <v>0</v>
      </c>
      <c r="I8" s="31">
        <v>0</v>
      </c>
      <c r="J8" s="31">
        <v>0</v>
      </c>
      <c r="K8" s="31">
        <v>0</v>
      </c>
      <c r="L8" s="32">
        <v>101</v>
      </c>
      <c r="M8" s="32">
        <v>201</v>
      </c>
      <c r="N8" s="1">
        <v>44281</v>
      </c>
      <c r="O8" s="31" t="s">
        <v>109</v>
      </c>
      <c r="P8" s="31" t="s">
        <v>99</v>
      </c>
      <c r="Q8" s="31" t="s">
        <v>112</v>
      </c>
      <c r="R8" s="31" t="s">
        <v>273</v>
      </c>
      <c r="S8" s="31"/>
      <c r="T8" s="31"/>
      <c r="U8" s="36" t="s">
        <v>278</v>
      </c>
      <c r="V8" s="8">
        <f t="shared" si="1"/>
        <v>0</v>
      </c>
      <c r="X8" s="38" t="s">
        <v>136</v>
      </c>
      <c r="Y8" s="8">
        <f t="shared" si="2"/>
        <v>0</v>
      </c>
      <c r="Z8" s="8">
        <f t="shared" si="3"/>
        <v>0</v>
      </c>
      <c r="AA8" s="8">
        <f t="shared" si="4"/>
        <v>0</v>
      </c>
      <c r="AB8" s="8">
        <f t="shared" si="0"/>
        <v>0</v>
      </c>
      <c r="AC8" s="8">
        <f t="shared" si="0"/>
        <v>0</v>
      </c>
      <c r="AD8" s="8">
        <f t="shared" si="0"/>
        <v>0</v>
      </c>
      <c r="AE8" s="8">
        <f t="shared" si="0"/>
        <v>0</v>
      </c>
      <c r="AF8" s="8">
        <f t="shared" si="0"/>
        <v>0</v>
      </c>
      <c r="AG8" s="8">
        <f t="shared" si="0"/>
        <v>0</v>
      </c>
    </row>
    <row r="9" spans="1:33" x14ac:dyDescent="0.25">
      <c r="S9" s="31"/>
      <c r="T9" s="31"/>
      <c r="U9" s="35" t="s">
        <v>279</v>
      </c>
      <c r="V9" s="8">
        <f t="shared" si="1"/>
        <v>0</v>
      </c>
      <c r="X9" s="37" t="s">
        <v>137</v>
      </c>
      <c r="Y9" s="8">
        <f t="shared" si="2"/>
        <v>0</v>
      </c>
      <c r="Z9" s="8">
        <f t="shared" si="3"/>
        <v>0</v>
      </c>
      <c r="AA9" s="8">
        <f t="shared" si="4"/>
        <v>0</v>
      </c>
      <c r="AB9" s="8">
        <f t="shared" si="0"/>
        <v>0</v>
      </c>
      <c r="AC9" s="8">
        <f t="shared" si="0"/>
        <v>0</v>
      </c>
      <c r="AD9" s="8">
        <f t="shared" si="0"/>
        <v>0</v>
      </c>
      <c r="AE9" s="8">
        <f t="shared" si="0"/>
        <v>0</v>
      </c>
      <c r="AF9" s="8">
        <f t="shared" si="0"/>
        <v>0</v>
      </c>
      <c r="AG9" s="8">
        <f t="shared" si="0"/>
        <v>0</v>
      </c>
    </row>
    <row r="10" spans="1:33" x14ac:dyDescent="0.25">
      <c r="S10" s="31"/>
      <c r="T10" s="31"/>
      <c r="U10" s="36" t="s">
        <v>287</v>
      </c>
      <c r="V10" s="8">
        <f t="shared" si="1"/>
        <v>0</v>
      </c>
      <c r="X10" s="38" t="s">
        <v>138</v>
      </c>
      <c r="Y10" s="8">
        <f t="shared" si="2"/>
        <v>0</v>
      </c>
      <c r="Z10" s="8">
        <f t="shared" si="3"/>
        <v>0</v>
      </c>
      <c r="AA10" s="8">
        <f t="shared" si="4"/>
        <v>0</v>
      </c>
      <c r="AB10" s="8">
        <f t="shared" si="0"/>
        <v>0</v>
      </c>
      <c r="AC10" s="8">
        <f t="shared" si="0"/>
        <v>0</v>
      </c>
      <c r="AD10" s="8">
        <f t="shared" si="0"/>
        <v>0</v>
      </c>
      <c r="AE10" s="8">
        <f t="shared" si="0"/>
        <v>0</v>
      </c>
      <c r="AF10" s="8">
        <f t="shared" si="0"/>
        <v>0</v>
      </c>
      <c r="AG10" s="8">
        <f t="shared" si="0"/>
        <v>0</v>
      </c>
    </row>
    <row r="11" spans="1:33" x14ac:dyDescent="0.25">
      <c r="S11" s="31"/>
      <c r="T11" s="31"/>
      <c r="U11" s="35" t="s">
        <v>280</v>
      </c>
      <c r="V11" s="8">
        <f t="shared" si="1"/>
        <v>0</v>
      </c>
      <c r="X11" s="37" t="s">
        <v>139</v>
      </c>
      <c r="Y11" s="8">
        <f t="shared" si="2"/>
        <v>0</v>
      </c>
      <c r="Z11" s="8">
        <f t="shared" si="3"/>
        <v>0</v>
      </c>
      <c r="AA11" s="8">
        <f t="shared" si="4"/>
        <v>0</v>
      </c>
      <c r="AB11" s="8">
        <f t="shared" si="0"/>
        <v>0</v>
      </c>
      <c r="AC11" s="8">
        <f t="shared" si="0"/>
        <v>0</v>
      </c>
      <c r="AD11" s="8">
        <f t="shared" si="0"/>
        <v>0</v>
      </c>
      <c r="AE11" s="8">
        <f t="shared" si="0"/>
        <v>0</v>
      </c>
      <c r="AF11" s="8">
        <f t="shared" si="0"/>
        <v>0</v>
      </c>
      <c r="AG11" s="8">
        <f t="shared" si="0"/>
        <v>0</v>
      </c>
    </row>
    <row r="12" spans="1:33" x14ac:dyDescent="0.25">
      <c r="S12" s="31"/>
      <c r="T12" s="31"/>
      <c r="U12" s="36" t="s">
        <v>281</v>
      </c>
      <c r="V12" s="8">
        <f t="shared" si="1"/>
        <v>0</v>
      </c>
      <c r="X12" s="38" t="s">
        <v>140</v>
      </c>
      <c r="Y12" s="8">
        <f t="shared" si="2"/>
        <v>0</v>
      </c>
      <c r="Z12" s="8">
        <f t="shared" si="3"/>
        <v>0</v>
      </c>
      <c r="AA12" s="8">
        <f t="shared" si="4"/>
        <v>0</v>
      </c>
      <c r="AB12" s="8">
        <f t="shared" si="0"/>
        <v>0</v>
      </c>
      <c r="AC12" s="8">
        <f t="shared" si="0"/>
        <v>0</v>
      </c>
      <c r="AD12" s="8">
        <f t="shared" si="0"/>
        <v>0</v>
      </c>
      <c r="AE12" s="8">
        <f t="shared" si="0"/>
        <v>0</v>
      </c>
      <c r="AF12" s="8">
        <f t="shared" si="0"/>
        <v>0</v>
      </c>
      <c r="AG12" s="8">
        <f t="shared" si="0"/>
        <v>0</v>
      </c>
    </row>
    <row r="13" spans="1:33" x14ac:dyDescent="0.25">
      <c r="S13" s="31"/>
      <c r="T13" s="31"/>
      <c r="U13" s="35" t="s">
        <v>282</v>
      </c>
      <c r="V13" s="8">
        <f t="shared" si="1"/>
        <v>0</v>
      </c>
      <c r="X13" s="37" t="s">
        <v>141</v>
      </c>
      <c r="Y13" s="8">
        <f t="shared" si="2"/>
        <v>0</v>
      </c>
      <c r="Z13" s="8">
        <f t="shared" si="3"/>
        <v>0</v>
      </c>
      <c r="AA13" s="8">
        <f t="shared" si="4"/>
        <v>0</v>
      </c>
      <c r="AB13" s="8">
        <f t="shared" si="0"/>
        <v>0</v>
      </c>
      <c r="AC13" s="8">
        <f t="shared" si="0"/>
        <v>0</v>
      </c>
      <c r="AD13" s="8">
        <f t="shared" si="0"/>
        <v>0</v>
      </c>
      <c r="AE13" s="8">
        <f t="shared" si="0"/>
        <v>0</v>
      </c>
      <c r="AF13" s="8">
        <f t="shared" si="0"/>
        <v>0</v>
      </c>
      <c r="AG13" s="8">
        <f t="shared" si="0"/>
        <v>0</v>
      </c>
    </row>
    <row r="14" spans="1:33" x14ac:dyDescent="0.25">
      <c r="S14" s="31"/>
      <c r="T14" s="31"/>
      <c r="U14" s="36" t="s">
        <v>283</v>
      </c>
      <c r="V14" s="8">
        <f t="shared" si="1"/>
        <v>0</v>
      </c>
      <c r="X14" s="38" t="s">
        <v>142</v>
      </c>
      <c r="Y14" s="8">
        <f t="shared" si="2"/>
        <v>0</v>
      </c>
      <c r="Z14" s="8">
        <f t="shared" si="3"/>
        <v>0</v>
      </c>
      <c r="AA14" s="8">
        <f t="shared" si="4"/>
        <v>0</v>
      </c>
      <c r="AB14" s="8">
        <f t="shared" si="0"/>
        <v>0</v>
      </c>
      <c r="AC14" s="8">
        <f t="shared" si="0"/>
        <v>0</v>
      </c>
      <c r="AD14" s="8">
        <f t="shared" si="0"/>
        <v>0</v>
      </c>
      <c r="AE14" s="8">
        <f t="shared" si="0"/>
        <v>0</v>
      </c>
      <c r="AF14" s="8">
        <f t="shared" si="0"/>
        <v>0</v>
      </c>
      <c r="AG14" s="8">
        <f t="shared" si="0"/>
        <v>0</v>
      </c>
    </row>
    <row r="15" spans="1:33" x14ac:dyDescent="0.25">
      <c r="S15" s="31"/>
      <c r="T15" s="31"/>
      <c r="U15" s="35" t="s">
        <v>284</v>
      </c>
      <c r="V15" s="8">
        <f t="shared" si="1"/>
        <v>0</v>
      </c>
      <c r="X15" s="37" t="s">
        <v>143</v>
      </c>
      <c r="Y15" s="8">
        <f t="shared" si="2"/>
        <v>0</v>
      </c>
      <c r="Z15" s="8">
        <f t="shared" si="3"/>
        <v>0</v>
      </c>
      <c r="AA15" s="8">
        <f t="shared" si="4"/>
        <v>0</v>
      </c>
      <c r="AB15" s="8">
        <f t="shared" si="0"/>
        <v>0</v>
      </c>
      <c r="AC15" s="8">
        <f t="shared" si="0"/>
        <v>0</v>
      </c>
      <c r="AD15" s="8">
        <f t="shared" si="0"/>
        <v>0</v>
      </c>
      <c r="AE15" s="8">
        <f t="shared" si="0"/>
        <v>0</v>
      </c>
      <c r="AF15" s="8">
        <f t="shared" si="0"/>
        <v>0</v>
      </c>
      <c r="AG15" s="8">
        <f t="shared" si="0"/>
        <v>0</v>
      </c>
    </row>
    <row r="16" spans="1:33" x14ac:dyDescent="0.25">
      <c r="S16" s="31"/>
      <c r="T16" s="31"/>
      <c r="U16" s="36" t="s">
        <v>285</v>
      </c>
      <c r="V16" s="8">
        <f t="shared" si="1"/>
        <v>0</v>
      </c>
      <c r="X16" s="38" t="s">
        <v>144</v>
      </c>
      <c r="Y16" s="8">
        <f t="shared" si="2"/>
        <v>0</v>
      </c>
      <c r="Z16" s="8">
        <f t="shared" si="3"/>
        <v>0</v>
      </c>
      <c r="AA16" s="8">
        <f t="shared" si="4"/>
        <v>0</v>
      </c>
      <c r="AB16" s="8">
        <f t="shared" si="0"/>
        <v>0</v>
      </c>
      <c r="AC16" s="8">
        <f t="shared" si="0"/>
        <v>0</v>
      </c>
      <c r="AD16" s="8">
        <f t="shared" si="0"/>
        <v>0</v>
      </c>
      <c r="AE16" s="8">
        <f t="shared" si="0"/>
        <v>0</v>
      </c>
      <c r="AF16" s="8">
        <f t="shared" si="0"/>
        <v>0</v>
      </c>
      <c r="AG16" s="8">
        <f t="shared" si="0"/>
        <v>0</v>
      </c>
    </row>
    <row r="17" spans="19:33" x14ac:dyDescent="0.25">
      <c r="S17" s="31"/>
      <c r="T17" s="31"/>
      <c r="U17" s="35" t="s">
        <v>286</v>
      </c>
      <c r="V17" s="8">
        <f t="shared" si="1"/>
        <v>0</v>
      </c>
      <c r="X17" s="37" t="s">
        <v>145</v>
      </c>
      <c r="Y17" s="8">
        <f t="shared" si="2"/>
        <v>0</v>
      </c>
      <c r="Z17" s="8">
        <f t="shared" si="3"/>
        <v>0</v>
      </c>
      <c r="AA17" s="8">
        <f t="shared" si="4"/>
        <v>0</v>
      </c>
      <c r="AB17" s="8">
        <f t="shared" si="0"/>
        <v>0</v>
      </c>
      <c r="AC17" s="8">
        <f t="shared" si="0"/>
        <v>0</v>
      </c>
      <c r="AD17" s="8">
        <f t="shared" si="0"/>
        <v>0</v>
      </c>
      <c r="AE17" s="8">
        <f t="shared" si="0"/>
        <v>0</v>
      </c>
      <c r="AF17" s="8">
        <f t="shared" si="0"/>
        <v>0</v>
      </c>
      <c r="AG17" s="8">
        <f t="shared" si="0"/>
        <v>0</v>
      </c>
    </row>
    <row r="18" spans="19:33" x14ac:dyDescent="0.25">
      <c r="X18" s="38" t="s">
        <v>146</v>
      </c>
      <c r="Y18" s="8">
        <f t="shared" si="2"/>
        <v>0</v>
      </c>
      <c r="Z18" s="8">
        <f t="shared" si="3"/>
        <v>0</v>
      </c>
      <c r="AA18" s="8">
        <f t="shared" si="4"/>
        <v>0</v>
      </c>
      <c r="AB18" s="8">
        <f t="shared" si="0"/>
        <v>0</v>
      </c>
      <c r="AC18" s="8">
        <f t="shared" si="0"/>
        <v>0</v>
      </c>
      <c r="AD18" s="8">
        <f t="shared" si="0"/>
        <v>0</v>
      </c>
      <c r="AE18" s="8">
        <f t="shared" si="0"/>
        <v>0</v>
      </c>
      <c r="AF18" s="8">
        <f t="shared" si="0"/>
        <v>0</v>
      </c>
      <c r="AG18" s="8">
        <f t="shared" si="0"/>
        <v>0</v>
      </c>
    </row>
    <row r="19" spans="19:33" x14ac:dyDescent="0.25">
      <c r="X19" s="37" t="s">
        <v>147</v>
      </c>
      <c r="Y19" s="8">
        <f t="shared" si="2"/>
        <v>0</v>
      </c>
      <c r="Z19" s="8">
        <f t="shared" si="3"/>
        <v>0</v>
      </c>
      <c r="AA19" s="8">
        <f t="shared" si="4"/>
        <v>0</v>
      </c>
      <c r="AB19" s="8">
        <f t="shared" si="4"/>
        <v>0</v>
      </c>
      <c r="AC19" s="8">
        <f t="shared" si="4"/>
        <v>0</v>
      </c>
      <c r="AD19" s="8">
        <f t="shared" si="4"/>
        <v>0</v>
      </c>
      <c r="AE19" s="8">
        <f t="shared" si="4"/>
        <v>0</v>
      </c>
      <c r="AF19" s="8">
        <f t="shared" si="4"/>
        <v>0</v>
      </c>
      <c r="AG19" s="8">
        <f t="shared" si="4"/>
        <v>0</v>
      </c>
    </row>
    <row r="20" spans="19:33" x14ac:dyDescent="0.25">
      <c r="X20" s="38" t="s">
        <v>148</v>
      </c>
      <c r="Y20" s="8">
        <f t="shared" si="2"/>
        <v>0</v>
      </c>
      <c r="Z20" s="8">
        <f t="shared" si="3"/>
        <v>0</v>
      </c>
      <c r="AA20" s="8">
        <f t="shared" si="4"/>
        <v>0</v>
      </c>
      <c r="AB20" s="8">
        <f t="shared" si="4"/>
        <v>0</v>
      </c>
      <c r="AC20" s="8">
        <f t="shared" si="4"/>
        <v>0</v>
      </c>
      <c r="AD20" s="8">
        <f t="shared" si="4"/>
        <v>0</v>
      </c>
      <c r="AE20" s="8">
        <f t="shared" si="4"/>
        <v>0</v>
      </c>
      <c r="AF20" s="8">
        <f t="shared" si="4"/>
        <v>0</v>
      </c>
      <c r="AG20" s="8">
        <f t="shared" si="4"/>
        <v>0</v>
      </c>
    </row>
    <row r="21" spans="19:33" x14ac:dyDescent="0.25">
      <c r="X21" s="37" t="s">
        <v>149</v>
      </c>
      <c r="Y21" s="8">
        <f t="shared" si="2"/>
        <v>0</v>
      </c>
      <c r="Z21" s="8">
        <f t="shared" si="3"/>
        <v>0</v>
      </c>
      <c r="AA21" s="8">
        <f t="shared" si="4"/>
        <v>0</v>
      </c>
      <c r="AB21" s="8">
        <f t="shared" si="4"/>
        <v>0</v>
      </c>
      <c r="AC21" s="8">
        <f t="shared" si="4"/>
        <v>0</v>
      </c>
      <c r="AD21" s="8">
        <f t="shared" si="4"/>
        <v>0</v>
      </c>
      <c r="AE21" s="8">
        <f t="shared" si="4"/>
        <v>0</v>
      </c>
      <c r="AF21" s="8">
        <f t="shared" si="4"/>
        <v>0</v>
      </c>
      <c r="AG21" s="8">
        <f t="shared" si="4"/>
        <v>0</v>
      </c>
    </row>
    <row r="22" spans="19:33" x14ac:dyDescent="0.25">
      <c r="X22" s="38" t="s">
        <v>150</v>
      </c>
      <c r="Y22" s="8">
        <f t="shared" si="2"/>
        <v>0</v>
      </c>
      <c r="Z22" s="8">
        <f t="shared" si="3"/>
        <v>0</v>
      </c>
      <c r="AA22" s="8">
        <f t="shared" si="4"/>
        <v>0</v>
      </c>
      <c r="AB22" s="8">
        <f t="shared" si="4"/>
        <v>0</v>
      </c>
      <c r="AC22" s="8">
        <f t="shared" si="4"/>
        <v>0</v>
      </c>
      <c r="AD22" s="8">
        <f t="shared" si="4"/>
        <v>0</v>
      </c>
      <c r="AE22" s="8">
        <f t="shared" si="4"/>
        <v>0</v>
      </c>
      <c r="AF22" s="8">
        <f t="shared" si="4"/>
        <v>0</v>
      </c>
      <c r="AG22" s="8">
        <f t="shared" si="4"/>
        <v>0</v>
      </c>
    </row>
    <row r="23" spans="19:33" x14ac:dyDescent="0.25">
      <c r="X23" s="37" t="s">
        <v>151</v>
      </c>
      <c r="Y23" s="8">
        <f t="shared" si="2"/>
        <v>0</v>
      </c>
      <c r="Z23" s="8">
        <f t="shared" si="3"/>
        <v>0</v>
      </c>
      <c r="AA23" s="8">
        <f t="shared" si="4"/>
        <v>0</v>
      </c>
      <c r="AB23" s="8">
        <f t="shared" si="4"/>
        <v>0</v>
      </c>
      <c r="AC23" s="8">
        <f t="shared" si="4"/>
        <v>0</v>
      </c>
      <c r="AD23" s="8">
        <f t="shared" si="4"/>
        <v>0</v>
      </c>
      <c r="AE23" s="8">
        <f t="shared" si="4"/>
        <v>0</v>
      </c>
      <c r="AF23" s="8">
        <f t="shared" si="4"/>
        <v>0</v>
      </c>
      <c r="AG23" s="8">
        <f t="shared" si="4"/>
        <v>0</v>
      </c>
    </row>
    <row r="24" spans="19:33" x14ac:dyDescent="0.25">
      <c r="X24" s="38" t="s">
        <v>152</v>
      </c>
      <c r="Y24" s="8">
        <f t="shared" si="2"/>
        <v>0</v>
      </c>
      <c r="Z24" s="8">
        <f t="shared" si="3"/>
        <v>0</v>
      </c>
      <c r="AA24" s="8">
        <f t="shared" si="4"/>
        <v>0</v>
      </c>
      <c r="AB24" s="8">
        <f t="shared" si="4"/>
        <v>0</v>
      </c>
      <c r="AC24" s="8">
        <f t="shared" si="4"/>
        <v>0</v>
      </c>
      <c r="AD24" s="8">
        <f t="shared" si="4"/>
        <v>0</v>
      </c>
      <c r="AE24" s="8">
        <f t="shared" si="4"/>
        <v>0</v>
      </c>
      <c r="AF24" s="8">
        <f t="shared" si="4"/>
        <v>0</v>
      </c>
      <c r="AG24" s="8">
        <f t="shared" si="4"/>
        <v>0</v>
      </c>
    </row>
    <row r="25" spans="19:33" x14ac:dyDescent="0.25">
      <c r="X25" s="37" t="s">
        <v>153</v>
      </c>
      <c r="Y25" s="8">
        <f t="shared" si="2"/>
        <v>200</v>
      </c>
      <c r="Z25" s="8">
        <f t="shared" si="3"/>
        <v>1.2</v>
      </c>
      <c r="AA25" s="8">
        <f t="shared" si="4"/>
        <v>2</v>
      </c>
      <c r="AB25" s="8">
        <f t="shared" si="4"/>
        <v>0</v>
      </c>
      <c r="AC25" s="8">
        <f t="shared" si="4"/>
        <v>0</v>
      </c>
      <c r="AD25" s="8">
        <f t="shared" si="4"/>
        <v>0</v>
      </c>
      <c r="AE25" s="8">
        <f t="shared" si="4"/>
        <v>0</v>
      </c>
      <c r="AF25" s="8">
        <f t="shared" si="4"/>
        <v>3</v>
      </c>
      <c r="AG25" s="8">
        <f t="shared" si="4"/>
        <v>206.2</v>
      </c>
    </row>
    <row r="26" spans="19:33" x14ac:dyDescent="0.25">
      <c r="X26" s="38" t="s">
        <v>154</v>
      </c>
      <c r="Y26" s="8">
        <f t="shared" si="2"/>
        <v>0</v>
      </c>
      <c r="Z26" s="8">
        <f t="shared" si="3"/>
        <v>0</v>
      </c>
      <c r="AA26" s="8">
        <f t="shared" si="4"/>
        <v>0</v>
      </c>
      <c r="AB26" s="8">
        <f t="shared" si="4"/>
        <v>0</v>
      </c>
      <c r="AC26" s="8">
        <f t="shared" si="4"/>
        <v>0</v>
      </c>
      <c r="AD26" s="8">
        <f t="shared" si="4"/>
        <v>0</v>
      </c>
      <c r="AE26" s="8">
        <f t="shared" si="4"/>
        <v>0</v>
      </c>
      <c r="AF26" s="8">
        <f t="shared" si="4"/>
        <v>0</v>
      </c>
      <c r="AG26" s="8">
        <f t="shared" si="4"/>
        <v>0</v>
      </c>
    </row>
    <row r="27" spans="19:33" x14ac:dyDescent="0.25">
      <c r="AF27" t="s">
        <v>291</v>
      </c>
      <c r="AG27" s="8">
        <v>307.2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497A-5DB8-41F9-BA11-6BC1373974D3}">
  <sheetPr codeName="Planilha24"/>
  <dimension ref="A1:I4"/>
  <sheetViews>
    <sheetView workbookViewId="0">
      <selection activeCell="D4" sqref="D4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5.42578125" bestFit="1" customWidth="1"/>
    <col min="9" max="9" width="10.140625" bestFit="1" customWidth="1"/>
  </cols>
  <sheetData>
    <row r="1" spans="1:9" ht="34.5" customHeight="1" x14ac:dyDescent="0.25"/>
    <row r="3" spans="1:9" x14ac:dyDescent="0.25">
      <c r="A3" s="21" t="s">
        <v>106</v>
      </c>
      <c r="B3" s="21" t="s">
        <v>110</v>
      </c>
      <c r="C3" s="21" t="s">
        <v>305</v>
      </c>
      <c r="D3" s="21" t="s">
        <v>304</v>
      </c>
      <c r="E3" s="21" t="s">
        <v>306</v>
      </c>
      <c r="H3" t="s">
        <v>291</v>
      </c>
      <c r="I3" s="8">
        <f>SUM(D:D)</f>
        <v>0</v>
      </c>
    </row>
    <row r="4" spans="1:9" x14ac:dyDescent="0.25">
      <c r="A4" s="1" t="s">
        <v>112</v>
      </c>
      <c r="B4" s="1" t="s">
        <v>112</v>
      </c>
      <c r="C4" s="31" t="s">
        <v>112</v>
      </c>
      <c r="D4" s="62" t="s">
        <v>112</v>
      </c>
      <c r="E4" s="31" t="s">
        <v>112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120"/>
  <sheetViews>
    <sheetView workbookViewId="0">
      <selection activeCell="AB7" sqref="AB7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31" bestFit="1" customWidth="1"/>
    <col min="19" max="19" width="18.7109375" style="31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9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140625" bestFit="1" customWidth="1"/>
    <col min="35" max="35" width="11.7109375" bestFit="1" customWidth="1"/>
  </cols>
  <sheetData>
    <row r="1" spans="1:33" ht="38.25" customHeight="1" x14ac:dyDescent="0.25">
      <c r="V1" s="81" t="s">
        <v>294</v>
      </c>
      <c r="W1" s="81"/>
      <c r="X1" s="81"/>
      <c r="Z1" s="81" t="s">
        <v>297</v>
      </c>
      <c r="AA1" s="81"/>
      <c r="AB1" s="81"/>
      <c r="AC1" s="81"/>
      <c r="AD1" s="81"/>
      <c r="AE1" s="81"/>
      <c r="AF1" s="81"/>
      <c r="AG1" s="81"/>
    </row>
    <row r="2" spans="1:33" x14ac:dyDescent="0.25">
      <c r="V2" s="43" t="s">
        <v>293</v>
      </c>
      <c r="W2" s="43" t="s">
        <v>291</v>
      </c>
      <c r="X2" s="43" t="s">
        <v>292</v>
      </c>
      <c r="Z2" s="43" t="s">
        <v>296</v>
      </c>
      <c r="AA2" s="43" t="s">
        <v>80</v>
      </c>
      <c r="AB2" s="43" t="s">
        <v>64</v>
      </c>
      <c r="AC2" s="43" t="s">
        <v>65</v>
      </c>
      <c r="AD2" s="43" t="s">
        <v>115</v>
      </c>
      <c r="AE2" s="43" t="s">
        <v>97</v>
      </c>
      <c r="AF2" s="43" t="s">
        <v>118</v>
      </c>
      <c r="AG2" s="43" t="s">
        <v>66</v>
      </c>
    </row>
    <row r="3" spans="1:33" x14ac:dyDescent="0.25">
      <c r="A3" s="21" t="s">
        <v>105</v>
      </c>
      <c r="B3" s="21" t="s">
        <v>43</v>
      </c>
      <c r="C3" s="21" t="s">
        <v>86</v>
      </c>
      <c r="D3" s="21" t="s">
        <v>51</v>
      </c>
      <c r="E3" s="21" t="s">
        <v>108</v>
      </c>
      <c r="F3" s="21" t="s">
        <v>114</v>
      </c>
      <c r="G3" s="21" t="s">
        <v>61</v>
      </c>
      <c r="H3" s="21" t="s">
        <v>64</v>
      </c>
      <c r="I3" s="21" t="s">
        <v>65</v>
      </c>
      <c r="J3" s="21" t="s">
        <v>115</v>
      </c>
      <c r="K3" s="21" t="s">
        <v>97</v>
      </c>
      <c r="L3" s="21" t="s">
        <v>118</v>
      </c>
      <c r="M3" s="21" t="s">
        <v>66</v>
      </c>
      <c r="N3" s="21" t="s">
        <v>126</v>
      </c>
      <c r="O3" s="21" t="s">
        <v>289</v>
      </c>
      <c r="P3" s="21" t="s">
        <v>106</v>
      </c>
      <c r="Q3" s="21" t="s">
        <v>107</v>
      </c>
      <c r="R3" s="21" t="s">
        <v>98</v>
      </c>
      <c r="S3" s="21" t="s">
        <v>84</v>
      </c>
      <c r="T3" s="21" t="s">
        <v>85</v>
      </c>
      <c r="V3" s="35" t="s">
        <v>273</v>
      </c>
      <c r="W3" s="8">
        <f>SUMIF($T:$T,$V3,N:N)</f>
        <v>503</v>
      </c>
      <c r="X3" s="8">
        <f>SUMIF($T:$T,$V3,O:O)</f>
        <v>202</v>
      </c>
      <c r="Z3" s="37" t="s">
        <v>131</v>
      </c>
      <c r="AA3" s="8">
        <f t="shared" ref="AA3:AG18" si="0">SUMIF($A:$A,$Z3,G:G)</f>
        <v>0</v>
      </c>
      <c r="AB3" s="8">
        <f t="shared" si="0"/>
        <v>0</v>
      </c>
      <c r="AC3" s="8">
        <f t="shared" si="0"/>
        <v>0</v>
      </c>
      <c r="AD3" s="8">
        <f t="shared" si="0"/>
        <v>0</v>
      </c>
      <c r="AE3" s="8">
        <f t="shared" si="0"/>
        <v>0</v>
      </c>
      <c r="AF3" s="8">
        <f t="shared" si="0"/>
        <v>0</v>
      </c>
      <c r="AG3" s="8">
        <f t="shared" si="0"/>
        <v>0</v>
      </c>
    </row>
    <row r="4" spans="1:33" x14ac:dyDescent="0.25">
      <c r="A4" s="31">
        <v>2</v>
      </c>
      <c r="B4" s="31">
        <v>20</v>
      </c>
      <c r="C4" s="31">
        <v>5</v>
      </c>
      <c r="D4" s="31">
        <v>3</v>
      </c>
      <c r="E4" s="31">
        <v>4</v>
      </c>
      <c r="F4" s="32">
        <v>6</v>
      </c>
      <c r="G4" s="32">
        <v>7</v>
      </c>
      <c r="H4" s="32">
        <v>8</v>
      </c>
      <c r="I4" s="32">
        <v>9</v>
      </c>
      <c r="J4" s="31">
        <v>10</v>
      </c>
      <c r="K4" s="31">
        <v>11</v>
      </c>
      <c r="L4" s="31">
        <v>12</v>
      </c>
      <c r="M4" s="32">
        <v>13</v>
      </c>
      <c r="N4" s="32">
        <v>14</v>
      </c>
      <c r="O4" s="31">
        <v>21</v>
      </c>
      <c r="P4" s="1">
        <v>15</v>
      </c>
      <c r="Q4" s="31">
        <v>16</v>
      </c>
      <c r="R4" s="31">
        <v>17</v>
      </c>
      <c r="S4" s="1">
        <v>18</v>
      </c>
      <c r="T4" s="31">
        <v>19</v>
      </c>
      <c r="V4" s="36" t="s">
        <v>274</v>
      </c>
      <c r="W4" s="8">
        <f t="shared" ref="W4:W17" si="1">SUMIF($T:$T,$V4,N:N)</f>
        <v>608.6</v>
      </c>
      <c r="X4" s="8">
        <f t="shared" ref="X4:X17" si="2">SUMIF($T:$T,$V4,O:O)</f>
        <v>608.6</v>
      </c>
      <c r="Z4" s="38" t="s">
        <v>132</v>
      </c>
      <c r="AA4" s="8">
        <f t="shared" si="0"/>
        <v>0</v>
      </c>
      <c r="AB4" s="8">
        <f t="shared" si="0"/>
        <v>0</v>
      </c>
      <c r="AC4" s="8">
        <f t="shared" si="0"/>
        <v>0</v>
      </c>
      <c r="AD4" s="8">
        <f t="shared" si="0"/>
        <v>0</v>
      </c>
      <c r="AE4" s="8">
        <f t="shared" si="0"/>
        <v>0</v>
      </c>
      <c r="AF4" s="8">
        <f t="shared" si="0"/>
        <v>0</v>
      </c>
      <c r="AG4" s="8">
        <f t="shared" si="0"/>
        <v>0</v>
      </c>
    </row>
    <row r="5" spans="1:33" x14ac:dyDescent="0.25">
      <c r="A5" s="31" t="s">
        <v>153</v>
      </c>
      <c r="B5" s="31">
        <v>14</v>
      </c>
      <c r="C5" s="1">
        <v>44280</v>
      </c>
      <c r="D5" s="31">
        <v>3</v>
      </c>
      <c r="E5" s="31">
        <v>2</v>
      </c>
      <c r="F5" s="32">
        <v>300</v>
      </c>
      <c r="G5" s="32">
        <v>1.2</v>
      </c>
      <c r="H5" s="32">
        <v>2</v>
      </c>
      <c r="I5" s="32">
        <v>0</v>
      </c>
      <c r="J5" s="31" t="s">
        <v>112</v>
      </c>
      <c r="K5" s="31" t="s">
        <v>112</v>
      </c>
      <c r="L5" s="31" t="s">
        <v>112</v>
      </c>
      <c r="M5" s="32">
        <v>3</v>
      </c>
      <c r="N5" s="32">
        <v>308.60000000000002</v>
      </c>
      <c r="O5" s="31">
        <v>308.60000000000002</v>
      </c>
      <c r="P5" s="1">
        <v>44281</v>
      </c>
      <c r="Q5" s="31" t="s">
        <v>116</v>
      </c>
      <c r="R5" s="31" t="s">
        <v>99</v>
      </c>
      <c r="S5" s="1" t="s">
        <v>112</v>
      </c>
      <c r="T5" s="31" t="s">
        <v>274</v>
      </c>
      <c r="V5" s="35" t="s">
        <v>275</v>
      </c>
      <c r="W5" s="8">
        <f t="shared" si="1"/>
        <v>0</v>
      </c>
      <c r="X5" s="8">
        <f t="shared" si="2"/>
        <v>0</v>
      </c>
      <c r="Z5" s="37" t="s">
        <v>133</v>
      </c>
      <c r="AA5" s="8">
        <f t="shared" si="0"/>
        <v>0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</row>
    <row r="6" spans="1:33" x14ac:dyDescent="0.25">
      <c r="A6" s="31" t="s">
        <v>153</v>
      </c>
      <c r="B6" s="31">
        <v>15</v>
      </c>
      <c r="C6" s="1">
        <v>44280</v>
      </c>
      <c r="D6" s="31">
        <v>3</v>
      </c>
      <c r="E6" s="31">
        <v>2</v>
      </c>
      <c r="F6" s="32">
        <v>300</v>
      </c>
      <c r="G6" s="32" t="s">
        <v>112</v>
      </c>
      <c r="H6" s="32">
        <v>0</v>
      </c>
      <c r="I6" s="32">
        <v>0</v>
      </c>
      <c r="J6" s="31" t="s">
        <v>112</v>
      </c>
      <c r="K6" s="31" t="s">
        <v>112</v>
      </c>
      <c r="L6" s="31" t="s">
        <v>112</v>
      </c>
      <c r="M6" s="32">
        <v>0</v>
      </c>
      <c r="N6" s="32">
        <v>300</v>
      </c>
      <c r="O6" s="31">
        <v>300</v>
      </c>
      <c r="P6" s="1">
        <v>44281</v>
      </c>
      <c r="Q6" s="31" t="s">
        <v>116</v>
      </c>
      <c r="R6" s="31" t="s">
        <v>99</v>
      </c>
      <c r="S6" s="1" t="s">
        <v>112</v>
      </c>
      <c r="T6" s="31" t="s">
        <v>274</v>
      </c>
      <c r="V6" s="36" t="s">
        <v>276</v>
      </c>
      <c r="W6" s="8">
        <f t="shared" si="1"/>
        <v>0</v>
      </c>
      <c r="X6" s="8">
        <f t="shared" si="2"/>
        <v>0</v>
      </c>
      <c r="Z6" s="38" t="s">
        <v>134</v>
      </c>
      <c r="AA6" s="8">
        <f t="shared" si="0"/>
        <v>0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</row>
    <row r="7" spans="1:33" x14ac:dyDescent="0.25">
      <c r="A7" s="31" t="s">
        <v>132</v>
      </c>
      <c r="B7" s="31">
        <v>55</v>
      </c>
      <c r="C7" s="31" t="s">
        <v>316</v>
      </c>
      <c r="D7" s="31">
        <v>1</v>
      </c>
      <c r="E7" s="31" t="s">
        <v>112</v>
      </c>
      <c r="F7" s="32">
        <v>202</v>
      </c>
      <c r="G7" s="32">
        <v>0</v>
      </c>
      <c r="H7" s="32">
        <v>0</v>
      </c>
      <c r="I7" s="32">
        <v>0</v>
      </c>
      <c r="J7" s="31">
        <v>0</v>
      </c>
      <c r="K7" s="31">
        <v>0</v>
      </c>
      <c r="L7" s="31">
        <v>0</v>
      </c>
      <c r="M7" s="32">
        <v>0</v>
      </c>
      <c r="N7" s="32">
        <v>202</v>
      </c>
      <c r="O7" s="31">
        <v>202</v>
      </c>
      <c r="P7" s="1">
        <v>44281</v>
      </c>
      <c r="Q7" s="31" t="s">
        <v>109</v>
      </c>
      <c r="R7" s="31" t="s">
        <v>99</v>
      </c>
      <c r="S7" s="1" t="s">
        <v>112</v>
      </c>
      <c r="T7" s="31" t="s">
        <v>273</v>
      </c>
      <c r="V7" s="35" t="s">
        <v>277</v>
      </c>
      <c r="W7" s="8">
        <f t="shared" si="1"/>
        <v>0</v>
      </c>
      <c r="X7" s="8">
        <f t="shared" si="2"/>
        <v>0</v>
      </c>
      <c r="Z7" s="37" t="s">
        <v>135</v>
      </c>
      <c r="AA7" s="8">
        <f t="shared" si="0"/>
        <v>0</v>
      </c>
      <c r="AB7" s="8">
        <f t="shared" si="0"/>
        <v>0</v>
      </c>
      <c r="AC7" s="8">
        <f t="shared" si="0"/>
        <v>0</v>
      </c>
      <c r="AD7" s="8">
        <f t="shared" si="0"/>
        <v>0</v>
      </c>
      <c r="AE7" s="8">
        <f t="shared" si="0"/>
        <v>0</v>
      </c>
      <c r="AF7" s="8">
        <f t="shared" si="0"/>
        <v>0</v>
      </c>
      <c r="AG7" s="8">
        <f t="shared" si="0"/>
        <v>0</v>
      </c>
    </row>
    <row r="8" spans="1:33" x14ac:dyDescent="0.25">
      <c r="A8" s="31">
        <v>101</v>
      </c>
      <c r="B8" s="31">
        <v>14</v>
      </c>
      <c r="C8" s="31" t="s">
        <v>316</v>
      </c>
      <c r="D8" s="31">
        <v>1</v>
      </c>
      <c r="E8" s="31" t="s">
        <v>112</v>
      </c>
      <c r="F8" s="32">
        <v>200</v>
      </c>
      <c r="G8" s="32">
        <v>0</v>
      </c>
      <c r="H8" s="32">
        <v>0</v>
      </c>
      <c r="I8" s="32">
        <v>0</v>
      </c>
      <c r="J8" s="31">
        <v>0</v>
      </c>
      <c r="K8" s="31">
        <v>0</v>
      </c>
      <c r="L8" s="31">
        <v>0</v>
      </c>
      <c r="M8" s="32">
        <v>101</v>
      </c>
      <c r="N8" s="32">
        <v>301</v>
      </c>
      <c r="O8" s="31">
        <v>0</v>
      </c>
      <c r="P8" s="1">
        <v>44281</v>
      </c>
      <c r="Q8" s="31" t="s">
        <v>109</v>
      </c>
      <c r="R8" s="31" t="s">
        <v>288</v>
      </c>
      <c r="S8" s="1">
        <v>44282</v>
      </c>
      <c r="T8" s="31" t="s">
        <v>273</v>
      </c>
      <c r="V8" s="36" t="s">
        <v>278</v>
      </c>
      <c r="W8" s="8">
        <f t="shared" si="1"/>
        <v>0</v>
      </c>
      <c r="X8" s="8">
        <f t="shared" si="2"/>
        <v>0</v>
      </c>
      <c r="Z8" s="38" t="s">
        <v>136</v>
      </c>
      <c r="AA8" s="8">
        <f t="shared" si="0"/>
        <v>0</v>
      </c>
      <c r="AB8" s="8">
        <f t="shared" si="0"/>
        <v>0</v>
      </c>
      <c r="AC8" s="8">
        <f t="shared" si="0"/>
        <v>0</v>
      </c>
      <c r="AD8" s="8">
        <f t="shared" si="0"/>
        <v>0</v>
      </c>
      <c r="AE8" s="8">
        <f t="shared" si="0"/>
        <v>0</v>
      </c>
      <c r="AF8" s="8">
        <f t="shared" si="0"/>
        <v>0</v>
      </c>
      <c r="AG8" s="8">
        <f t="shared" si="0"/>
        <v>0</v>
      </c>
    </row>
    <row r="9" spans="1:33" x14ac:dyDescent="0.25">
      <c r="R9"/>
      <c r="S9"/>
      <c r="V9" s="35" t="s">
        <v>279</v>
      </c>
      <c r="W9" s="8">
        <f t="shared" si="1"/>
        <v>0</v>
      </c>
      <c r="X9" s="8">
        <f t="shared" si="2"/>
        <v>0</v>
      </c>
      <c r="Z9" s="37" t="s">
        <v>137</v>
      </c>
      <c r="AA9" s="8">
        <f t="shared" si="0"/>
        <v>0</v>
      </c>
      <c r="AB9" s="8">
        <f t="shared" si="0"/>
        <v>0</v>
      </c>
      <c r="AC9" s="8">
        <f t="shared" si="0"/>
        <v>0</v>
      </c>
      <c r="AD9" s="8">
        <f t="shared" si="0"/>
        <v>0</v>
      </c>
      <c r="AE9" s="8">
        <f t="shared" si="0"/>
        <v>0</v>
      </c>
      <c r="AF9" s="8">
        <f t="shared" si="0"/>
        <v>0</v>
      </c>
      <c r="AG9" s="8">
        <f t="shared" si="0"/>
        <v>0</v>
      </c>
    </row>
    <row r="10" spans="1:33" x14ac:dyDescent="0.25">
      <c r="R10"/>
      <c r="S10"/>
      <c r="V10" s="36" t="s">
        <v>287</v>
      </c>
      <c r="W10" s="8">
        <f t="shared" si="1"/>
        <v>0</v>
      </c>
      <c r="X10" s="8">
        <f t="shared" si="2"/>
        <v>0</v>
      </c>
      <c r="Z10" s="38" t="s">
        <v>138</v>
      </c>
      <c r="AA10" s="8">
        <f t="shared" si="0"/>
        <v>0</v>
      </c>
      <c r="AB10" s="8">
        <f t="shared" si="0"/>
        <v>0</v>
      </c>
      <c r="AC10" s="8">
        <f t="shared" si="0"/>
        <v>0</v>
      </c>
      <c r="AD10" s="8">
        <f t="shared" si="0"/>
        <v>0</v>
      </c>
      <c r="AE10" s="8">
        <f t="shared" si="0"/>
        <v>0</v>
      </c>
      <c r="AF10" s="8">
        <f t="shared" si="0"/>
        <v>0</v>
      </c>
      <c r="AG10" s="8">
        <f t="shared" si="0"/>
        <v>0</v>
      </c>
    </row>
    <row r="11" spans="1:33" x14ac:dyDescent="0.25">
      <c r="R11"/>
      <c r="S11"/>
      <c r="V11" s="35" t="s">
        <v>280</v>
      </c>
      <c r="W11" s="8">
        <f t="shared" si="1"/>
        <v>0</v>
      </c>
      <c r="X11" s="8">
        <f t="shared" si="2"/>
        <v>0</v>
      </c>
      <c r="Z11" s="37" t="s">
        <v>139</v>
      </c>
      <c r="AA11" s="8">
        <f t="shared" si="0"/>
        <v>0</v>
      </c>
      <c r="AB11" s="8">
        <f t="shared" si="0"/>
        <v>0</v>
      </c>
      <c r="AC11" s="8">
        <f t="shared" si="0"/>
        <v>0</v>
      </c>
      <c r="AD11" s="8">
        <f t="shared" si="0"/>
        <v>0</v>
      </c>
      <c r="AE11" s="8">
        <f t="shared" si="0"/>
        <v>0</v>
      </c>
      <c r="AF11" s="8">
        <f t="shared" si="0"/>
        <v>0</v>
      </c>
      <c r="AG11" s="8">
        <f t="shared" si="0"/>
        <v>0</v>
      </c>
    </row>
    <row r="12" spans="1:33" x14ac:dyDescent="0.25">
      <c r="R12"/>
      <c r="S12"/>
      <c r="V12" s="36" t="s">
        <v>281</v>
      </c>
      <c r="W12" s="8">
        <f t="shared" si="1"/>
        <v>0</v>
      </c>
      <c r="X12" s="8">
        <f t="shared" si="2"/>
        <v>0</v>
      </c>
      <c r="Z12" s="38" t="s">
        <v>140</v>
      </c>
      <c r="AA12" s="8">
        <f t="shared" si="0"/>
        <v>0</v>
      </c>
      <c r="AB12" s="8">
        <f t="shared" si="0"/>
        <v>0</v>
      </c>
      <c r="AC12" s="8">
        <f t="shared" si="0"/>
        <v>0</v>
      </c>
      <c r="AD12" s="8">
        <f t="shared" si="0"/>
        <v>0</v>
      </c>
      <c r="AE12" s="8">
        <f t="shared" si="0"/>
        <v>0</v>
      </c>
      <c r="AF12" s="8">
        <f t="shared" si="0"/>
        <v>0</v>
      </c>
      <c r="AG12" s="8">
        <f t="shared" si="0"/>
        <v>0</v>
      </c>
    </row>
    <row r="13" spans="1:33" x14ac:dyDescent="0.25">
      <c r="R13"/>
      <c r="S13"/>
      <c r="V13" s="35" t="s">
        <v>282</v>
      </c>
      <c r="W13" s="8">
        <f t="shared" si="1"/>
        <v>0</v>
      </c>
      <c r="X13" s="8">
        <f t="shared" si="2"/>
        <v>0</v>
      </c>
      <c r="Z13" s="37" t="s">
        <v>141</v>
      </c>
      <c r="AA13" s="8">
        <f t="shared" si="0"/>
        <v>0</v>
      </c>
      <c r="AB13" s="8">
        <f t="shared" si="0"/>
        <v>0</v>
      </c>
      <c r="AC13" s="8">
        <f t="shared" si="0"/>
        <v>0</v>
      </c>
      <c r="AD13" s="8">
        <f t="shared" si="0"/>
        <v>0</v>
      </c>
      <c r="AE13" s="8">
        <f t="shared" si="0"/>
        <v>0</v>
      </c>
      <c r="AF13" s="8">
        <f t="shared" si="0"/>
        <v>0</v>
      </c>
      <c r="AG13" s="8">
        <f t="shared" si="0"/>
        <v>0</v>
      </c>
    </row>
    <row r="14" spans="1:33" x14ac:dyDescent="0.25">
      <c r="R14"/>
      <c r="S14"/>
      <c r="V14" s="36" t="s">
        <v>283</v>
      </c>
      <c r="W14" s="8">
        <f t="shared" si="1"/>
        <v>0</v>
      </c>
      <c r="X14" s="8">
        <f t="shared" si="2"/>
        <v>0</v>
      </c>
      <c r="Z14" s="38" t="s">
        <v>142</v>
      </c>
      <c r="AA14" s="8">
        <f t="shared" si="0"/>
        <v>0</v>
      </c>
      <c r="AB14" s="8">
        <f t="shared" si="0"/>
        <v>0</v>
      </c>
      <c r="AC14" s="8">
        <f t="shared" si="0"/>
        <v>0</v>
      </c>
      <c r="AD14" s="8">
        <f t="shared" si="0"/>
        <v>0</v>
      </c>
      <c r="AE14" s="8">
        <f t="shared" si="0"/>
        <v>0</v>
      </c>
      <c r="AF14" s="8">
        <f t="shared" si="0"/>
        <v>0</v>
      </c>
      <c r="AG14" s="8">
        <f t="shared" si="0"/>
        <v>0</v>
      </c>
    </row>
    <row r="15" spans="1:33" x14ac:dyDescent="0.25">
      <c r="R15"/>
      <c r="S15"/>
      <c r="V15" s="35" t="s">
        <v>284</v>
      </c>
      <c r="W15" s="8">
        <f t="shared" si="1"/>
        <v>0</v>
      </c>
      <c r="X15" s="8">
        <f t="shared" si="2"/>
        <v>0</v>
      </c>
      <c r="Z15" s="37" t="s">
        <v>143</v>
      </c>
      <c r="AA15" s="8">
        <f t="shared" si="0"/>
        <v>0</v>
      </c>
      <c r="AB15" s="8">
        <f t="shared" si="0"/>
        <v>0</v>
      </c>
      <c r="AC15" s="8">
        <f t="shared" si="0"/>
        <v>0</v>
      </c>
      <c r="AD15" s="8">
        <f t="shared" si="0"/>
        <v>0</v>
      </c>
      <c r="AE15" s="8">
        <f t="shared" si="0"/>
        <v>0</v>
      </c>
      <c r="AF15" s="8">
        <f t="shared" si="0"/>
        <v>0</v>
      </c>
      <c r="AG15" s="8">
        <f t="shared" si="0"/>
        <v>0</v>
      </c>
    </row>
    <row r="16" spans="1:33" x14ac:dyDescent="0.25">
      <c r="R16"/>
      <c r="S16"/>
      <c r="V16" s="36" t="s">
        <v>285</v>
      </c>
      <c r="W16" s="8">
        <f t="shared" si="1"/>
        <v>0</v>
      </c>
      <c r="X16" s="8">
        <f t="shared" si="2"/>
        <v>0</v>
      </c>
      <c r="Z16" s="38" t="s">
        <v>144</v>
      </c>
      <c r="AA16" s="8">
        <f t="shared" si="0"/>
        <v>0</v>
      </c>
      <c r="AB16" s="8">
        <f t="shared" si="0"/>
        <v>0</v>
      </c>
      <c r="AC16" s="8">
        <f t="shared" si="0"/>
        <v>0</v>
      </c>
      <c r="AD16" s="8">
        <f t="shared" si="0"/>
        <v>0</v>
      </c>
      <c r="AE16" s="8">
        <f t="shared" si="0"/>
        <v>0</v>
      </c>
      <c r="AF16" s="8">
        <f t="shared" si="0"/>
        <v>0</v>
      </c>
      <c r="AG16" s="8">
        <f t="shared" si="0"/>
        <v>0</v>
      </c>
    </row>
    <row r="17" spans="18:33" x14ac:dyDescent="0.25">
      <c r="R17"/>
      <c r="S17"/>
      <c r="V17" s="35" t="s">
        <v>286</v>
      </c>
      <c r="W17" s="8">
        <f t="shared" si="1"/>
        <v>0</v>
      </c>
      <c r="X17" s="8">
        <f t="shared" si="2"/>
        <v>0</v>
      </c>
      <c r="Z17" s="37" t="s">
        <v>145</v>
      </c>
      <c r="AA17" s="8">
        <f t="shared" si="0"/>
        <v>0</v>
      </c>
      <c r="AB17" s="8">
        <f t="shared" si="0"/>
        <v>0</v>
      </c>
      <c r="AC17" s="8">
        <f t="shared" si="0"/>
        <v>0</v>
      </c>
      <c r="AD17" s="8">
        <f t="shared" si="0"/>
        <v>0</v>
      </c>
      <c r="AE17" s="8">
        <f t="shared" si="0"/>
        <v>0</v>
      </c>
      <c r="AF17" s="8">
        <f t="shared" si="0"/>
        <v>0</v>
      </c>
      <c r="AG17" s="8">
        <f t="shared" si="0"/>
        <v>0</v>
      </c>
    </row>
    <row r="18" spans="18:33" x14ac:dyDescent="0.25">
      <c r="R18"/>
      <c r="S18"/>
      <c r="V18" s="44" t="s">
        <v>291</v>
      </c>
      <c r="W18" s="8">
        <f>SUM(W3:W17)</f>
        <v>1111.5999999999999</v>
      </c>
      <c r="X18" s="8">
        <f>SUM(X2:X17)</f>
        <v>810.6</v>
      </c>
      <c r="Z18" s="38" t="s">
        <v>146</v>
      </c>
      <c r="AA18" s="8">
        <f t="shared" si="0"/>
        <v>0</v>
      </c>
      <c r="AB18" s="8">
        <f t="shared" si="0"/>
        <v>0</v>
      </c>
      <c r="AC18" s="8">
        <f t="shared" si="0"/>
        <v>0</v>
      </c>
      <c r="AD18" s="8">
        <f t="shared" si="0"/>
        <v>0</v>
      </c>
      <c r="AE18" s="8">
        <f t="shared" si="0"/>
        <v>0</v>
      </c>
      <c r="AF18" s="8">
        <f t="shared" si="0"/>
        <v>0</v>
      </c>
      <c r="AG18" s="8">
        <f t="shared" si="0"/>
        <v>0</v>
      </c>
    </row>
    <row r="19" spans="18:33" x14ac:dyDescent="0.25">
      <c r="R19"/>
      <c r="S19"/>
      <c r="W19" s="8"/>
      <c r="X19" s="8"/>
      <c r="Z19" s="37" t="s">
        <v>147</v>
      </c>
      <c r="AA19" s="8">
        <f t="shared" ref="AA19:AG26" si="3">SUMIF($A:$A,$Z19,G:G)</f>
        <v>0</v>
      </c>
      <c r="AB19" s="8">
        <f t="shared" si="3"/>
        <v>0</v>
      </c>
      <c r="AC19" s="8">
        <f t="shared" si="3"/>
        <v>0</v>
      </c>
      <c r="AD19" s="8">
        <f t="shared" si="3"/>
        <v>0</v>
      </c>
      <c r="AE19" s="8">
        <f t="shared" si="3"/>
        <v>0</v>
      </c>
      <c r="AF19" s="8">
        <f t="shared" si="3"/>
        <v>0</v>
      </c>
      <c r="AG19" s="8">
        <f t="shared" si="3"/>
        <v>0</v>
      </c>
    </row>
    <row r="20" spans="18:33" x14ac:dyDescent="0.25">
      <c r="R20"/>
      <c r="S20"/>
      <c r="W20" s="8"/>
      <c r="X20" s="8"/>
      <c r="Z20" s="38" t="s">
        <v>148</v>
      </c>
      <c r="AA20" s="8">
        <f t="shared" si="3"/>
        <v>0</v>
      </c>
      <c r="AB20" s="8">
        <f t="shared" si="3"/>
        <v>0</v>
      </c>
      <c r="AC20" s="8">
        <f t="shared" si="3"/>
        <v>0</v>
      </c>
      <c r="AD20" s="8">
        <f t="shared" si="3"/>
        <v>0</v>
      </c>
      <c r="AE20" s="8">
        <f t="shared" si="3"/>
        <v>0</v>
      </c>
      <c r="AF20" s="8">
        <f t="shared" si="3"/>
        <v>0</v>
      </c>
      <c r="AG20" s="8">
        <f t="shared" si="3"/>
        <v>0</v>
      </c>
    </row>
    <row r="21" spans="18:33" x14ac:dyDescent="0.25">
      <c r="R21"/>
      <c r="S21"/>
      <c r="W21" s="8"/>
      <c r="X21" s="8"/>
      <c r="Z21" s="37" t="s">
        <v>149</v>
      </c>
      <c r="AA21" s="8">
        <f t="shared" si="3"/>
        <v>0</v>
      </c>
      <c r="AB21" s="8">
        <f t="shared" si="3"/>
        <v>0</v>
      </c>
      <c r="AC21" s="8">
        <f t="shared" si="3"/>
        <v>0</v>
      </c>
      <c r="AD21" s="8">
        <f t="shared" si="3"/>
        <v>0</v>
      </c>
      <c r="AE21" s="8">
        <f t="shared" si="3"/>
        <v>0</v>
      </c>
      <c r="AF21" s="8">
        <f t="shared" si="3"/>
        <v>0</v>
      </c>
      <c r="AG21" s="8">
        <f t="shared" si="3"/>
        <v>0</v>
      </c>
    </row>
    <row r="22" spans="18:33" x14ac:dyDescent="0.25">
      <c r="R22"/>
      <c r="S22"/>
      <c r="W22" s="8"/>
      <c r="X22" s="8"/>
      <c r="Z22" s="38" t="s">
        <v>150</v>
      </c>
      <c r="AA22" s="8">
        <f t="shared" si="3"/>
        <v>0</v>
      </c>
      <c r="AB22" s="8">
        <f t="shared" si="3"/>
        <v>0</v>
      </c>
      <c r="AC22" s="8">
        <f t="shared" si="3"/>
        <v>0</v>
      </c>
      <c r="AD22" s="8">
        <f t="shared" si="3"/>
        <v>0</v>
      </c>
      <c r="AE22" s="8">
        <f t="shared" si="3"/>
        <v>0</v>
      </c>
      <c r="AF22" s="8">
        <f t="shared" si="3"/>
        <v>0</v>
      </c>
      <c r="AG22" s="8">
        <f t="shared" si="3"/>
        <v>0</v>
      </c>
    </row>
    <row r="23" spans="18:33" x14ac:dyDescent="0.25">
      <c r="R23"/>
      <c r="S23"/>
      <c r="W23" s="8"/>
      <c r="X23" s="8"/>
      <c r="Z23" s="37" t="s">
        <v>151</v>
      </c>
      <c r="AA23" s="8">
        <f t="shared" si="3"/>
        <v>0</v>
      </c>
      <c r="AB23" s="8">
        <f t="shared" si="3"/>
        <v>0</v>
      </c>
      <c r="AC23" s="8">
        <f t="shared" si="3"/>
        <v>0</v>
      </c>
      <c r="AD23" s="8">
        <f t="shared" si="3"/>
        <v>0</v>
      </c>
      <c r="AE23" s="8">
        <f t="shared" si="3"/>
        <v>0</v>
      </c>
      <c r="AF23" s="8">
        <f t="shared" si="3"/>
        <v>0</v>
      </c>
      <c r="AG23" s="8">
        <f t="shared" si="3"/>
        <v>0</v>
      </c>
    </row>
    <row r="24" spans="18:33" x14ac:dyDescent="0.25">
      <c r="R24"/>
      <c r="S24"/>
      <c r="W24" s="8"/>
      <c r="X24" s="8"/>
      <c r="Z24" s="38" t="s">
        <v>152</v>
      </c>
      <c r="AA24" s="8">
        <f t="shared" si="3"/>
        <v>0</v>
      </c>
      <c r="AB24" s="8">
        <f t="shared" si="3"/>
        <v>0</v>
      </c>
      <c r="AC24" s="8">
        <f t="shared" si="3"/>
        <v>0</v>
      </c>
      <c r="AD24" s="8">
        <f t="shared" si="3"/>
        <v>0</v>
      </c>
      <c r="AE24" s="8">
        <f t="shared" si="3"/>
        <v>0</v>
      </c>
      <c r="AF24" s="8">
        <f t="shared" si="3"/>
        <v>0</v>
      </c>
      <c r="AG24" s="8">
        <f t="shared" si="3"/>
        <v>0</v>
      </c>
    </row>
    <row r="25" spans="18:33" x14ac:dyDescent="0.25">
      <c r="R25"/>
      <c r="S25"/>
      <c r="W25" s="8"/>
      <c r="X25" s="8"/>
      <c r="Z25" s="37" t="s">
        <v>153</v>
      </c>
      <c r="AA25" s="8">
        <f t="shared" si="3"/>
        <v>1.2</v>
      </c>
      <c r="AB25" s="8">
        <f t="shared" si="3"/>
        <v>2</v>
      </c>
      <c r="AC25" s="8">
        <f t="shared" si="3"/>
        <v>0</v>
      </c>
      <c r="AD25" s="8">
        <f t="shared" si="3"/>
        <v>0</v>
      </c>
      <c r="AE25" s="8">
        <f t="shared" si="3"/>
        <v>0</v>
      </c>
      <c r="AF25" s="8">
        <f t="shared" si="3"/>
        <v>0</v>
      </c>
      <c r="AG25" s="8">
        <f t="shared" si="3"/>
        <v>3</v>
      </c>
    </row>
    <row r="26" spans="18:33" x14ac:dyDescent="0.25">
      <c r="R26"/>
      <c r="S26"/>
      <c r="W26" s="8"/>
      <c r="X26" s="8"/>
      <c r="Z26" s="38" t="s">
        <v>154</v>
      </c>
      <c r="AA26" s="8">
        <f t="shared" si="3"/>
        <v>0</v>
      </c>
      <c r="AB26" s="8">
        <f t="shared" si="3"/>
        <v>0</v>
      </c>
      <c r="AC26" s="8">
        <f t="shared" si="3"/>
        <v>0</v>
      </c>
      <c r="AD26" s="8">
        <f t="shared" si="3"/>
        <v>0</v>
      </c>
      <c r="AE26" s="8">
        <f t="shared" si="3"/>
        <v>0</v>
      </c>
      <c r="AF26" s="8">
        <f t="shared" si="3"/>
        <v>0</v>
      </c>
      <c r="AG26" s="8">
        <f t="shared" si="3"/>
        <v>0</v>
      </c>
    </row>
    <row r="27" spans="18:33" x14ac:dyDescent="0.25">
      <c r="R27"/>
      <c r="S27"/>
      <c r="W27" s="8"/>
      <c r="X27" s="8"/>
      <c r="Z27" t="s">
        <v>291</v>
      </c>
      <c r="AA27" s="8">
        <v>1.2</v>
      </c>
      <c r="AB27" s="8">
        <v>2</v>
      </c>
      <c r="AC27" s="8">
        <v>0</v>
      </c>
      <c r="AD27" s="8">
        <v>0</v>
      </c>
      <c r="AE27" s="8">
        <v>0</v>
      </c>
      <c r="AF27" s="8">
        <v>0</v>
      </c>
      <c r="AG27" s="8">
        <v>3</v>
      </c>
    </row>
    <row r="28" spans="18:33" x14ac:dyDescent="0.25">
      <c r="R28"/>
      <c r="S28"/>
    </row>
    <row r="29" spans="18:33" x14ac:dyDescent="0.25">
      <c r="R29"/>
      <c r="S29"/>
    </row>
    <row r="30" spans="18:33" x14ac:dyDescent="0.25">
      <c r="R30"/>
      <c r="S30"/>
    </row>
    <row r="31" spans="18:33" x14ac:dyDescent="0.25">
      <c r="R31"/>
      <c r="S31"/>
    </row>
    <row r="32" spans="18:33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T6"/>
  <sheetViews>
    <sheetView topLeftCell="K1" workbookViewId="0">
      <selection activeCell="L11" sqref="L11"/>
    </sheetView>
  </sheetViews>
  <sheetFormatPr defaultRowHeight="15" x14ac:dyDescent="0.25"/>
  <cols>
    <col min="1" max="1" width="16.42578125" style="30" customWidth="1"/>
    <col min="2" max="3" width="16.42578125" customWidth="1"/>
    <col min="4" max="4" width="16.42578125" style="1" customWidth="1"/>
    <col min="5" max="5" width="19.140625" style="8" customWidth="1"/>
    <col min="6" max="6" width="16.5703125" style="8" customWidth="1"/>
    <col min="7" max="9" width="16.42578125" style="8" customWidth="1"/>
    <col min="10" max="10" width="19.7109375" style="8" customWidth="1"/>
    <col min="11" max="11" width="20.28515625" style="8" customWidth="1"/>
    <col min="12" max="13" width="16.42578125" style="8" customWidth="1"/>
    <col min="14" max="17" width="20" customWidth="1"/>
    <col min="18" max="18" width="16.42578125" customWidth="1"/>
    <col min="19" max="19" width="13.5703125" bestFit="1" customWidth="1"/>
    <col min="20" max="20" width="10.7109375" bestFit="1" customWidth="1"/>
  </cols>
  <sheetData>
    <row r="1" spans="1:20" x14ac:dyDescent="0.25">
      <c r="A1" s="30" t="s">
        <v>313</v>
      </c>
      <c r="B1" s="30" t="s">
        <v>105</v>
      </c>
      <c r="C1" s="30" t="s">
        <v>51</v>
      </c>
      <c r="D1" s="30" t="s">
        <v>108</v>
      </c>
      <c r="E1" s="30" t="s">
        <v>86</v>
      </c>
      <c r="F1" s="30" t="s">
        <v>114</v>
      </c>
      <c r="G1" s="30" t="s">
        <v>61</v>
      </c>
      <c r="H1" s="30" t="s">
        <v>64</v>
      </c>
      <c r="I1" s="30" t="s">
        <v>65</v>
      </c>
      <c r="J1" s="30" t="s">
        <v>115</v>
      </c>
      <c r="K1" s="30" t="s">
        <v>97</v>
      </c>
      <c r="L1" s="30" t="s">
        <v>113</v>
      </c>
      <c r="M1" s="30" t="s">
        <v>66</v>
      </c>
      <c r="N1" s="30" t="s">
        <v>67</v>
      </c>
      <c r="O1" s="30" t="s">
        <v>106</v>
      </c>
      <c r="P1" s="30" t="s">
        <v>107</v>
      </c>
      <c r="Q1" s="30" t="s">
        <v>98</v>
      </c>
      <c r="R1" s="30" t="s">
        <v>110</v>
      </c>
      <c r="S1" s="30" t="s">
        <v>85</v>
      </c>
      <c r="T1" s="30" t="s">
        <v>315</v>
      </c>
    </row>
    <row r="2" spans="1:20" x14ac:dyDescent="0.25">
      <c r="A2" s="30">
        <v>1</v>
      </c>
      <c r="B2">
        <v>2</v>
      </c>
      <c r="C2" s="30">
        <v>3</v>
      </c>
      <c r="D2" s="31">
        <v>4</v>
      </c>
      <c r="E2" s="30">
        <v>5</v>
      </c>
      <c r="F2" s="31">
        <v>6</v>
      </c>
      <c r="G2" s="30">
        <v>7</v>
      </c>
      <c r="H2" s="31">
        <v>8</v>
      </c>
      <c r="I2" s="30">
        <v>9</v>
      </c>
      <c r="J2" s="31">
        <v>10</v>
      </c>
      <c r="K2" s="30">
        <v>11</v>
      </c>
      <c r="L2" s="31">
        <v>12</v>
      </c>
      <c r="M2" s="30">
        <v>13</v>
      </c>
      <c r="N2" s="31">
        <v>14</v>
      </c>
      <c r="O2" s="30">
        <v>15</v>
      </c>
      <c r="P2" s="31">
        <v>16</v>
      </c>
      <c r="Q2" s="30">
        <v>17</v>
      </c>
      <c r="R2" s="31">
        <v>18</v>
      </c>
      <c r="S2" s="30">
        <v>19</v>
      </c>
      <c r="T2" s="31">
        <v>20</v>
      </c>
    </row>
    <row r="3" spans="1:20" x14ac:dyDescent="0.25">
      <c r="A3" s="30">
        <v>3</v>
      </c>
      <c r="B3" t="s">
        <v>153</v>
      </c>
      <c r="C3">
        <v>3</v>
      </c>
      <c r="D3" s="1">
        <v>2</v>
      </c>
      <c r="E3" s="73">
        <v>44280</v>
      </c>
      <c r="F3" s="16">
        <v>100</v>
      </c>
      <c r="G3" s="16">
        <v>1.2</v>
      </c>
      <c r="H3" s="16">
        <v>2</v>
      </c>
      <c r="I3" s="16">
        <v>0</v>
      </c>
      <c r="J3" s="16"/>
      <c r="K3" s="16"/>
      <c r="L3" s="16"/>
      <c r="M3" s="16">
        <v>3</v>
      </c>
      <c r="N3" s="16">
        <v>106.2</v>
      </c>
      <c r="O3" s="1">
        <v>44281</v>
      </c>
      <c r="P3" t="s">
        <v>116</v>
      </c>
      <c r="Q3" t="s">
        <v>99</v>
      </c>
      <c r="S3" s="31" t="s">
        <v>274</v>
      </c>
      <c r="T3">
        <v>17</v>
      </c>
    </row>
    <row r="4" spans="1:20" x14ac:dyDescent="0.25">
      <c r="A4" s="30">
        <v>4</v>
      </c>
      <c r="B4" t="s">
        <v>153</v>
      </c>
      <c r="C4">
        <v>3</v>
      </c>
      <c r="D4" s="1">
        <v>2</v>
      </c>
      <c r="E4" s="73">
        <v>44280</v>
      </c>
      <c r="F4" s="16">
        <v>100</v>
      </c>
      <c r="G4" s="16"/>
      <c r="H4" s="16">
        <v>0</v>
      </c>
      <c r="I4" s="16">
        <v>0</v>
      </c>
      <c r="J4" s="16"/>
      <c r="K4" s="16"/>
      <c r="L4" s="16"/>
      <c r="M4" s="16">
        <v>0</v>
      </c>
      <c r="N4" s="16">
        <v>100</v>
      </c>
      <c r="O4" s="1">
        <v>44281</v>
      </c>
      <c r="P4" t="s">
        <v>116</v>
      </c>
      <c r="Q4" t="s">
        <v>99</v>
      </c>
      <c r="S4" t="s">
        <v>274</v>
      </c>
      <c r="T4">
        <v>4</v>
      </c>
    </row>
    <row r="5" spans="1:20" x14ac:dyDescent="0.25">
      <c r="A5" s="30">
        <v>5</v>
      </c>
      <c r="B5" t="s">
        <v>132</v>
      </c>
      <c r="C5">
        <v>1</v>
      </c>
      <c r="E5" s="73" t="s">
        <v>316</v>
      </c>
      <c r="F5" s="16">
        <v>101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101</v>
      </c>
      <c r="O5" s="1">
        <v>44281</v>
      </c>
      <c r="P5" t="s">
        <v>109</v>
      </c>
      <c r="Q5" t="s">
        <v>288</v>
      </c>
      <c r="R5" s="1">
        <v>44282</v>
      </c>
      <c r="S5" t="s">
        <v>273</v>
      </c>
    </row>
    <row r="6" spans="1:20" x14ac:dyDescent="0.25">
      <c r="A6" s="30">
        <v>6</v>
      </c>
      <c r="B6">
        <v>101</v>
      </c>
      <c r="C6">
        <v>1</v>
      </c>
      <c r="E6" s="73" t="s">
        <v>316</v>
      </c>
      <c r="F6" s="16">
        <v>100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101</v>
      </c>
      <c r="N6" s="16">
        <v>201</v>
      </c>
      <c r="O6" s="1">
        <v>44281</v>
      </c>
      <c r="P6" t="s">
        <v>109</v>
      </c>
      <c r="Q6" t="s">
        <v>99</v>
      </c>
      <c r="S6" t="s">
        <v>273</v>
      </c>
      <c r="T6">
        <v>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W6"/>
  <sheetViews>
    <sheetView topLeftCell="O1" workbookViewId="0">
      <selection activeCell="U2" sqref="U2"/>
    </sheetView>
  </sheetViews>
  <sheetFormatPr defaultRowHeight="15" x14ac:dyDescent="0.25"/>
  <cols>
    <col min="1" max="3" width="22.7109375" customWidth="1"/>
    <col min="4" max="4" width="22.7109375" style="25" customWidth="1"/>
    <col min="5" max="13" width="22.7109375" style="8" customWidth="1"/>
    <col min="14" max="17" width="22.7109375" customWidth="1"/>
    <col min="18" max="20" width="22.7109375" style="31" customWidth="1"/>
    <col min="21" max="21" width="22.7109375" customWidth="1"/>
    <col min="23" max="23" width="10.7109375" bestFit="1" customWidth="1"/>
  </cols>
  <sheetData>
    <row r="1" spans="1:23" s="30" customFormat="1" x14ac:dyDescent="0.25">
      <c r="A1" s="30" t="s">
        <v>313</v>
      </c>
      <c r="B1" s="30" t="s">
        <v>105</v>
      </c>
      <c r="C1" s="30" t="s">
        <v>51</v>
      </c>
      <c r="D1" s="30" t="s">
        <v>108</v>
      </c>
      <c r="E1" s="30" t="s">
        <v>86</v>
      </c>
      <c r="F1" s="30" t="s">
        <v>114</v>
      </c>
      <c r="G1" s="30" t="s">
        <v>61</v>
      </c>
      <c r="H1" s="30" t="s">
        <v>64</v>
      </c>
      <c r="I1" s="30" t="s">
        <v>65</v>
      </c>
      <c r="J1" s="30" t="s">
        <v>115</v>
      </c>
      <c r="K1" s="30" t="s">
        <v>97</v>
      </c>
      <c r="L1" s="30" t="s">
        <v>118</v>
      </c>
      <c r="M1" s="30" t="s">
        <v>66</v>
      </c>
      <c r="N1" s="30" t="s">
        <v>126</v>
      </c>
      <c r="O1" s="30" t="s">
        <v>106</v>
      </c>
      <c r="P1" s="30" t="s">
        <v>107</v>
      </c>
      <c r="Q1" s="30" t="s">
        <v>98</v>
      </c>
      <c r="R1" s="30" t="s">
        <v>84</v>
      </c>
      <c r="S1" s="30" t="s">
        <v>85</v>
      </c>
      <c r="T1" s="30" t="s">
        <v>43</v>
      </c>
      <c r="U1" s="30" t="s">
        <v>289</v>
      </c>
      <c r="V1" s="30" t="s">
        <v>290</v>
      </c>
      <c r="W1" s="30" t="s">
        <v>315</v>
      </c>
    </row>
    <row r="2" spans="1:23" x14ac:dyDescent="0.25">
      <c r="A2">
        <v>1</v>
      </c>
      <c r="B2">
        <v>2</v>
      </c>
      <c r="C2" s="31">
        <v>3</v>
      </c>
      <c r="D2" s="31">
        <v>4</v>
      </c>
      <c r="E2" s="31">
        <v>5</v>
      </c>
      <c r="F2" s="31">
        <v>6</v>
      </c>
      <c r="G2" s="31">
        <v>7</v>
      </c>
      <c r="H2" s="31">
        <v>8</v>
      </c>
      <c r="I2" s="31">
        <v>9</v>
      </c>
      <c r="J2" s="31">
        <v>10</v>
      </c>
      <c r="K2" s="31">
        <v>11</v>
      </c>
      <c r="L2" s="31">
        <v>12</v>
      </c>
      <c r="M2" s="31">
        <v>13</v>
      </c>
      <c r="N2" s="31">
        <v>14</v>
      </c>
      <c r="O2" s="31">
        <v>15</v>
      </c>
      <c r="P2" s="31">
        <v>16</v>
      </c>
      <c r="Q2" s="31">
        <v>17</v>
      </c>
      <c r="R2" s="31">
        <v>18</v>
      </c>
      <c r="S2" s="31">
        <v>19</v>
      </c>
      <c r="T2" s="31">
        <v>20</v>
      </c>
      <c r="U2" s="31">
        <v>21</v>
      </c>
      <c r="V2" s="31">
        <v>22</v>
      </c>
      <c r="W2" s="31">
        <v>23</v>
      </c>
    </row>
    <row r="3" spans="1:23" x14ac:dyDescent="0.25">
      <c r="A3">
        <v>3</v>
      </c>
      <c r="B3" t="s">
        <v>153</v>
      </c>
      <c r="C3">
        <v>3</v>
      </c>
      <c r="D3" s="25">
        <v>2</v>
      </c>
      <c r="E3" s="73">
        <v>44280</v>
      </c>
      <c r="F3" s="16">
        <v>300</v>
      </c>
      <c r="G3" s="16">
        <v>1.2</v>
      </c>
      <c r="H3" s="16">
        <v>2</v>
      </c>
      <c r="I3" s="16">
        <v>0</v>
      </c>
      <c r="J3" s="16"/>
      <c r="K3" s="16"/>
      <c r="L3" s="16"/>
      <c r="M3" s="16">
        <v>3</v>
      </c>
      <c r="N3" s="16">
        <v>308.60000000000002</v>
      </c>
      <c r="O3" s="1">
        <v>44281</v>
      </c>
      <c r="P3" t="s">
        <v>116</v>
      </c>
      <c r="Q3" t="s">
        <v>99</v>
      </c>
      <c r="S3" s="31" t="s">
        <v>274</v>
      </c>
      <c r="T3" s="31">
        <v>14</v>
      </c>
      <c r="U3" s="16">
        <v>308.60000000000002</v>
      </c>
      <c r="W3">
        <v>17</v>
      </c>
    </row>
    <row r="4" spans="1:23" x14ac:dyDescent="0.25">
      <c r="A4">
        <v>4</v>
      </c>
      <c r="B4" t="s">
        <v>153</v>
      </c>
      <c r="C4">
        <v>3</v>
      </c>
      <c r="D4" s="25">
        <v>2</v>
      </c>
      <c r="E4" s="73">
        <v>44280</v>
      </c>
      <c r="F4" s="16">
        <v>300</v>
      </c>
      <c r="G4" s="16"/>
      <c r="H4" s="16">
        <v>0</v>
      </c>
      <c r="I4" s="16">
        <v>0</v>
      </c>
      <c r="J4" s="16"/>
      <c r="K4" s="16"/>
      <c r="L4" s="16"/>
      <c r="M4" s="16">
        <v>0</v>
      </c>
      <c r="N4" s="16">
        <v>300</v>
      </c>
      <c r="O4" s="1">
        <v>44281</v>
      </c>
      <c r="P4" t="s">
        <v>116</v>
      </c>
      <c r="Q4" t="s">
        <v>99</v>
      </c>
      <c r="S4" s="31" t="s">
        <v>274</v>
      </c>
      <c r="T4" s="31">
        <v>15</v>
      </c>
      <c r="U4" s="16">
        <v>300</v>
      </c>
      <c r="W4">
        <v>4</v>
      </c>
    </row>
    <row r="5" spans="1:23" x14ac:dyDescent="0.25">
      <c r="A5">
        <v>5</v>
      </c>
      <c r="B5" t="s">
        <v>132</v>
      </c>
      <c r="C5">
        <v>1</v>
      </c>
      <c r="E5" s="72" t="s">
        <v>316</v>
      </c>
      <c r="F5" s="16">
        <v>202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202</v>
      </c>
      <c r="O5" s="1">
        <v>44281</v>
      </c>
      <c r="P5" t="s">
        <v>109</v>
      </c>
      <c r="Q5" t="s">
        <v>99</v>
      </c>
      <c r="S5" s="31" t="s">
        <v>273</v>
      </c>
      <c r="T5" s="31">
        <v>55</v>
      </c>
      <c r="U5" s="16">
        <v>202</v>
      </c>
    </row>
    <row r="6" spans="1:23" x14ac:dyDescent="0.25">
      <c r="A6">
        <v>6</v>
      </c>
      <c r="B6">
        <v>101</v>
      </c>
      <c r="C6">
        <v>1</v>
      </c>
      <c r="E6" s="72" t="s">
        <v>316</v>
      </c>
      <c r="F6" s="16">
        <v>200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101</v>
      </c>
      <c r="N6" s="16">
        <v>301</v>
      </c>
      <c r="O6" s="1">
        <v>44281</v>
      </c>
      <c r="P6" t="s">
        <v>109</v>
      </c>
      <c r="Q6" t="s">
        <v>288</v>
      </c>
      <c r="R6" s="1">
        <v>44282</v>
      </c>
      <c r="S6" s="31" t="s">
        <v>273</v>
      </c>
      <c r="T6" s="31">
        <v>14</v>
      </c>
      <c r="U6" s="16">
        <v>0</v>
      </c>
      <c r="V6" t="s">
        <v>321</v>
      </c>
      <c r="W6">
        <v>3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J3"/>
  <sheetViews>
    <sheetView workbookViewId="0">
      <selection activeCell="H2" sqref="H2"/>
    </sheetView>
  </sheetViews>
  <sheetFormatPr defaultColWidth="9.140625" defaultRowHeight="15" x14ac:dyDescent="0.25"/>
  <cols>
    <col min="1" max="1" width="10.7109375" style="65" bestFit="1" customWidth="1"/>
    <col min="2" max="2" width="10.7109375" bestFit="1" customWidth="1"/>
    <col min="3" max="4" width="22.140625" style="1" customWidth="1"/>
    <col min="5" max="5" width="13.42578125" bestFit="1" customWidth="1"/>
    <col min="6" max="6" width="13.7109375" style="4" bestFit="1" customWidth="1"/>
    <col min="7" max="7" width="22.28515625" style="65" customWidth="1"/>
    <col min="8" max="8" width="16.140625" bestFit="1" customWidth="1"/>
    <col min="9" max="9" width="11.5703125" bestFit="1" customWidth="1"/>
    <col min="10" max="10" width="3.42578125" bestFit="1" customWidth="1"/>
    <col min="11" max="11" width="12.28515625" bestFit="1" customWidth="1"/>
    <col min="12" max="12" width="22.7109375" style="8" bestFit="1" customWidth="1"/>
    <col min="13" max="13" width="9.85546875" bestFit="1" customWidth="1"/>
    <col min="14" max="14" width="12.5703125" bestFit="1" customWidth="1"/>
    <col min="15" max="15" width="16" style="8" bestFit="1" customWidth="1"/>
    <col min="16" max="16" width="13.42578125" style="8" bestFit="1" customWidth="1"/>
    <col min="17" max="17" width="16.42578125" style="8" bestFit="1" customWidth="1"/>
    <col min="18" max="18" width="22.42578125" style="8" bestFit="1" customWidth="1"/>
    <col min="19" max="19" width="23" style="8" bestFit="1" customWidth="1"/>
    <col min="20" max="20" width="15.28515625" style="8" bestFit="1" customWidth="1"/>
    <col min="21" max="22" width="15.28515625" style="8" customWidth="1"/>
    <col min="23" max="23" width="22" style="8" customWidth="1"/>
    <col min="24" max="26" width="15.28515625" style="8" customWidth="1"/>
    <col min="27" max="27" width="17" style="8" bestFit="1" customWidth="1"/>
    <col min="28" max="28" width="21.5703125" style="8" bestFit="1" customWidth="1"/>
    <col min="29" max="29" width="15.28515625" style="8" customWidth="1"/>
    <col min="30" max="30" width="22.42578125" style="8" customWidth="1"/>
    <col min="31" max="31" width="22.140625" customWidth="1"/>
    <col min="32" max="32" width="14.140625" customWidth="1"/>
    <col min="33" max="33" width="20.42578125" customWidth="1"/>
  </cols>
  <sheetData>
    <row r="1" spans="1:36" s="2" customFormat="1" ht="30" customHeight="1" x14ac:dyDescent="0.25">
      <c r="A1" s="65" t="s">
        <v>313</v>
      </c>
      <c r="B1" s="30" t="s">
        <v>311</v>
      </c>
      <c r="C1" s="30" t="s">
        <v>43</v>
      </c>
      <c r="D1" s="30" t="s">
        <v>44</v>
      </c>
      <c r="E1" s="30" t="s">
        <v>88</v>
      </c>
      <c r="F1" s="30" t="s">
        <v>45</v>
      </c>
      <c r="G1" s="65" t="s">
        <v>51</v>
      </c>
      <c r="H1" s="30" t="s">
        <v>46</v>
      </c>
      <c r="I1" s="30" t="s">
        <v>47</v>
      </c>
      <c r="J1" s="30" t="s">
        <v>48</v>
      </c>
      <c r="K1" s="30" t="s">
        <v>49</v>
      </c>
      <c r="L1" s="30" t="s">
        <v>50</v>
      </c>
      <c r="M1" s="30" t="s">
        <v>122</v>
      </c>
      <c r="N1" s="30" t="s">
        <v>123</v>
      </c>
      <c r="O1" s="30" t="s">
        <v>80</v>
      </c>
      <c r="P1" s="30" t="s">
        <v>115</v>
      </c>
      <c r="Q1" s="30" t="s">
        <v>124</v>
      </c>
      <c r="R1" s="30" t="s">
        <v>125</v>
      </c>
      <c r="S1" s="30" t="s">
        <v>97</v>
      </c>
      <c r="T1" s="30" t="s">
        <v>113</v>
      </c>
      <c r="U1" s="30" t="s">
        <v>66</v>
      </c>
      <c r="V1" s="30" t="s">
        <v>127</v>
      </c>
      <c r="W1" s="30" t="s">
        <v>85</v>
      </c>
      <c r="X1" s="30" t="s">
        <v>103</v>
      </c>
      <c r="Y1" s="30" t="s">
        <v>104</v>
      </c>
      <c r="Z1" s="30" t="s">
        <v>121</v>
      </c>
      <c r="AA1" s="30" t="s">
        <v>96</v>
      </c>
      <c r="AB1" s="30" t="s">
        <v>62</v>
      </c>
      <c r="AC1" s="30" t="s">
        <v>63</v>
      </c>
      <c r="AD1" s="30" t="s">
        <v>130</v>
      </c>
      <c r="AE1" s="30" t="s">
        <v>271</v>
      </c>
      <c r="AF1" s="30" t="s">
        <v>272</v>
      </c>
      <c r="AG1" s="30" t="s">
        <v>312</v>
      </c>
    </row>
    <row r="2" spans="1:36" x14ac:dyDescent="0.25">
      <c r="A2" s="65">
        <v>1</v>
      </c>
      <c r="B2">
        <v>2</v>
      </c>
      <c r="C2">
        <v>3</v>
      </c>
      <c r="D2" s="65">
        <v>4</v>
      </c>
      <c r="E2" s="31">
        <v>5</v>
      </c>
      <c r="F2" s="31">
        <v>6</v>
      </c>
      <c r="G2" s="65">
        <v>7</v>
      </c>
      <c r="H2" s="31">
        <v>88</v>
      </c>
      <c r="I2" s="31">
        <v>9</v>
      </c>
      <c r="J2" s="65">
        <v>10</v>
      </c>
      <c r="K2" s="31">
        <v>11</v>
      </c>
      <c r="L2" s="31">
        <v>12</v>
      </c>
      <c r="M2" s="65">
        <v>13</v>
      </c>
      <c r="N2" s="31">
        <v>14</v>
      </c>
      <c r="O2" s="31">
        <v>15</v>
      </c>
      <c r="P2" s="65">
        <v>16</v>
      </c>
      <c r="Q2" s="31">
        <v>17</v>
      </c>
      <c r="R2" s="31">
        <v>18</v>
      </c>
      <c r="S2" s="65">
        <v>19</v>
      </c>
      <c r="T2" s="31">
        <v>20</v>
      </c>
      <c r="U2" s="31">
        <v>21</v>
      </c>
      <c r="V2" s="65">
        <v>22</v>
      </c>
      <c r="W2" s="31">
        <v>23</v>
      </c>
      <c r="X2" s="31">
        <v>24</v>
      </c>
      <c r="Y2" s="65">
        <v>25</v>
      </c>
      <c r="Z2" s="31">
        <v>26</v>
      </c>
      <c r="AA2" s="31">
        <v>27</v>
      </c>
      <c r="AB2" s="65">
        <v>28</v>
      </c>
      <c r="AC2" s="31">
        <v>29</v>
      </c>
      <c r="AD2" s="31">
        <v>30</v>
      </c>
      <c r="AE2" s="65">
        <v>31</v>
      </c>
      <c r="AF2" s="31">
        <v>32</v>
      </c>
      <c r="AG2" s="31">
        <v>33</v>
      </c>
    </row>
    <row r="3" spans="1:36" x14ac:dyDescent="0.25">
      <c r="A3" s="71">
        <v>3</v>
      </c>
      <c r="B3" s="41">
        <v>14</v>
      </c>
      <c r="C3">
        <v>1</v>
      </c>
      <c r="D3" s="41">
        <v>44256</v>
      </c>
      <c r="E3" s="41">
        <v>44257</v>
      </c>
      <c r="F3" s="66"/>
      <c r="G3" s="71">
        <v>1</v>
      </c>
      <c r="H3" s="66" t="s">
        <v>319</v>
      </c>
      <c r="I3" s="66" t="s">
        <v>29</v>
      </c>
      <c r="J3" s="66" t="s">
        <v>16</v>
      </c>
      <c r="K3" s="10" t="s">
        <v>320</v>
      </c>
      <c r="L3" s="40">
        <v>100</v>
      </c>
      <c r="M3" s="40">
        <v>100</v>
      </c>
      <c r="N3" s="67">
        <v>0</v>
      </c>
      <c r="O3" s="40">
        <v>0</v>
      </c>
      <c r="P3" s="40">
        <v>0</v>
      </c>
      <c r="Q3" s="40">
        <v>0</v>
      </c>
      <c r="R3" s="40">
        <v>0</v>
      </c>
      <c r="S3" s="40">
        <v>0</v>
      </c>
      <c r="T3" s="40">
        <v>101</v>
      </c>
      <c r="U3" s="40">
        <v>201</v>
      </c>
      <c r="V3" s="40">
        <v>402</v>
      </c>
      <c r="W3" s="69" t="s">
        <v>273</v>
      </c>
      <c r="X3" s="68"/>
      <c r="Y3" s="68"/>
      <c r="Z3" s="68" t="s">
        <v>70</v>
      </c>
      <c r="AA3" s="40">
        <v>0</v>
      </c>
      <c r="AB3" s="40">
        <v>0</v>
      </c>
      <c r="AC3" s="40">
        <v>0</v>
      </c>
      <c r="AD3" s="70">
        <v>44280</v>
      </c>
      <c r="AE3" s="40">
        <v>200</v>
      </c>
      <c r="AF3" s="40">
        <v>502</v>
      </c>
      <c r="AG3" s="70">
        <v>44280</v>
      </c>
      <c r="AJ3" s="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F5"/>
  <sheetViews>
    <sheetView workbookViewId="0">
      <selection activeCell="G6" sqref="G6"/>
    </sheetView>
  </sheetViews>
  <sheetFormatPr defaultRowHeight="15" x14ac:dyDescent="0.25"/>
  <cols>
    <col min="1" max="1" width="21.7109375" style="30" customWidth="1"/>
    <col min="2" max="3" width="21.7109375" style="6" customWidth="1"/>
    <col min="4" max="6" width="21.7109375" style="5" customWidth="1"/>
    <col min="7" max="7" width="21.7109375" style="4" customWidth="1"/>
    <col min="8" max="10" width="21.7109375" customWidth="1"/>
    <col min="11" max="12" width="21.7109375" style="30" customWidth="1"/>
    <col min="13" max="15" width="21.7109375" customWidth="1"/>
    <col min="16" max="17" width="21.7109375" style="4" customWidth="1"/>
    <col min="18" max="18" width="21.7109375" style="33" customWidth="1"/>
    <col min="19" max="19" width="21.7109375" style="8" customWidth="1"/>
    <col min="20" max="20" width="21.7109375" customWidth="1"/>
    <col min="21" max="21" width="21.7109375" style="8" customWidth="1"/>
    <col min="22" max="22" width="23.28515625" customWidth="1"/>
    <col min="23" max="27" width="21.7109375" style="8" customWidth="1"/>
    <col min="28" max="28" width="21.7109375" style="6" customWidth="1"/>
    <col min="29" max="29" width="20.85546875" style="1" bestFit="1" customWidth="1"/>
    <col min="30" max="31" width="21.42578125" bestFit="1" customWidth="1"/>
    <col min="32" max="32" width="15.5703125" bestFit="1" customWidth="1"/>
  </cols>
  <sheetData>
    <row r="1" spans="1:32" s="64" customFormat="1" ht="21.75" customHeight="1" x14ac:dyDescent="0.25">
      <c r="A1" s="30" t="s">
        <v>313</v>
      </c>
      <c r="B1" s="30" t="s">
        <v>84</v>
      </c>
      <c r="C1" s="30" t="s">
        <v>86</v>
      </c>
      <c r="D1" s="30" t="s">
        <v>87</v>
      </c>
      <c r="E1" s="30" t="s">
        <v>43</v>
      </c>
      <c r="F1" s="30" t="s">
        <v>51</v>
      </c>
      <c r="G1" s="30" t="s">
        <v>52</v>
      </c>
      <c r="H1" s="30" t="s">
        <v>53</v>
      </c>
      <c r="I1" s="30" t="s">
        <v>46</v>
      </c>
      <c r="J1" s="30" t="s">
        <v>54</v>
      </c>
      <c r="K1" s="30" t="s">
        <v>47</v>
      </c>
      <c r="L1" s="30" t="s">
        <v>48</v>
      </c>
      <c r="M1" s="30" t="s">
        <v>55</v>
      </c>
      <c r="N1" s="30" t="s">
        <v>56</v>
      </c>
      <c r="O1" s="30" t="s">
        <v>50</v>
      </c>
      <c r="P1" s="30" t="s">
        <v>57</v>
      </c>
      <c r="Q1" s="30" t="s">
        <v>58</v>
      </c>
      <c r="R1" s="30" t="s">
        <v>59</v>
      </c>
      <c r="S1" s="34" t="s">
        <v>85</v>
      </c>
      <c r="T1" s="30" t="s">
        <v>114</v>
      </c>
      <c r="U1" s="30" t="s">
        <v>60</v>
      </c>
      <c r="V1" s="30" t="s">
        <v>61</v>
      </c>
      <c r="W1" s="30" t="s">
        <v>62</v>
      </c>
      <c r="X1" s="30" t="s">
        <v>63</v>
      </c>
      <c r="Y1" s="30" t="s">
        <v>64</v>
      </c>
      <c r="Z1" s="30" t="s">
        <v>65</v>
      </c>
      <c r="AA1" s="30" t="s">
        <v>66</v>
      </c>
      <c r="AB1" s="30" t="s">
        <v>126</v>
      </c>
      <c r="AC1" s="30" t="s">
        <v>96</v>
      </c>
      <c r="AD1" s="30" t="s">
        <v>130</v>
      </c>
      <c r="AE1" s="30" t="s">
        <v>271</v>
      </c>
      <c r="AF1" s="30" t="s">
        <v>272</v>
      </c>
    </row>
    <row r="2" spans="1:32" s="30" customFormat="1" x14ac:dyDescent="0.25">
      <c r="A2" s="30">
        <v>1</v>
      </c>
      <c r="B2" s="75">
        <v>2</v>
      </c>
      <c r="C2" s="75">
        <v>3</v>
      </c>
      <c r="D2" s="30">
        <v>4</v>
      </c>
      <c r="E2" s="75">
        <v>5</v>
      </c>
      <c r="F2" s="75">
        <v>66</v>
      </c>
      <c r="G2" s="30">
        <v>7</v>
      </c>
      <c r="H2" s="75">
        <v>8</v>
      </c>
      <c r="I2" s="75">
        <v>9</v>
      </c>
      <c r="J2" s="30">
        <v>10</v>
      </c>
      <c r="K2" s="75">
        <v>11</v>
      </c>
      <c r="L2" s="75">
        <v>12</v>
      </c>
      <c r="M2" s="30">
        <v>13</v>
      </c>
      <c r="N2" s="75">
        <v>14</v>
      </c>
      <c r="O2" s="75">
        <v>15</v>
      </c>
      <c r="P2" s="30">
        <v>16</v>
      </c>
      <c r="Q2" s="75">
        <v>17</v>
      </c>
      <c r="R2" s="75">
        <v>18</v>
      </c>
      <c r="S2" s="30">
        <v>19</v>
      </c>
      <c r="T2" s="75">
        <v>20</v>
      </c>
      <c r="U2" s="75">
        <v>21</v>
      </c>
      <c r="V2" s="30">
        <v>22</v>
      </c>
      <c r="W2" s="75">
        <v>23</v>
      </c>
      <c r="X2" s="75">
        <v>24</v>
      </c>
      <c r="Y2" s="30">
        <v>25</v>
      </c>
      <c r="Z2" s="75">
        <v>26</v>
      </c>
      <c r="AA2" s="75">
        <v>27</v>
      </c>
      <c r="AB2" s="30">
        <v>28</v>
      </c>
      <c r="AC2" s="75">
        <v>29</v>
      </c>
      <c r="AD2" s="75">
        <v>30</v>
      </c>
      <c r="AE2" s="30">
        <v>31</v>
      </c>
      <c r="AF2" s="75">
        <v>32</v>
      </c>
    </row>
    <row r="3" spans="1:32" x14ac:dyDescent="0.25">
      <c r="A3" s="30">
        <v>17</v>
      </c>
      <c r="B3" s="6">
        <v>44228</v>
      </c>
      <c r="C3" s="6">
        <v>44280</v>
      </c>
      <c r="D3" s="1">
        <v>44281</v>
      </c>
      <c r="E3" s="5">
        <v>14</v>
      </c>
      <c r="F3" s="5">
        <v>3</v>
      </c>
      <c r="G3" s="4">
        <v>2</v>
      </c>
      <c r="H3">
        <v>1</v>
      </c>
      <c r="I3" t="s">
        <v>318</v>
      </c>
      <c r="J3" t="s">
        <v>317</v>
      </c>
      <c r="K3" s="30" t="s">
        <v>28</v>
      </c>
      <c r="L3" s="30" t="s">
        <v>16</v>
      </c>
      <c r="N3" t="s">
        <v>82</v>
      </c>
      <c r="O3" s="31" t="s">
        <v>153</v>
      </c>
      <c r="P3" s="4" t="s">
        <v>73</v>
      </c>
      <c r="Q3" s="4">
        <v>5</v>
      </c>
      <c r="R3" s="33">
        <v>6</v>
      </c>
      <c r="S3" s="8" t="s">
        <v>274</v>
      </c>
      <c r="T3" s="32">
        <v>100</v>
      </c>
      <c r="U3" s="8">
        <v>1</v>
      </c>
      <c r="V3" s="32">
        <v>1.2</v>
      </c>
      <c r="W3" s="8">
        <v>2</v>
      </c>
      <c r="X3" s="16">
        <v>2.4</v>
      </c>
      <c r="Y3" s="16">
        <v>2</v>
      </c>
      <c r="Z3" s="16">
        <v>0</v>
      </c>
      <c r="AA3" s="16">
        <v>3</v>
      </c>
      <c r="AB3" s="74">
        <v>106.2</v>
      </c>
      <c r="AC3" s="1">
        <v>44281</v>
      </c>
      <c r="AD3" s="1">
        <v>44280</v>
      </c>
      <c r="AE3" s="32">
        <v>300</v>
      </c>
      <c r="AF3" s="32">
        <v>308.60000000000002</v>
      </c>
    </row>
    <row r="4" spans="1:32" x14ac:dyDescent="0.25">
      <c r="A4" s="30">
        <v>4</v>
      </c>
      <c r="B4" s="6">
        <v>44198</v>
      </c>
      <c r="C4" s="6">
        <v>44280</v>
      </c>
      <c r="D4" s="5">
        <v>44281</v>
      </c>
      <c r="E4" s="5">
        <v>15</v>
      </c>
      <c r="F4" s="5">
        <v>3</v>
      </c>
      <c r="G4" s="4">
        <v>3</v>
      </c>
      <c r="H4">
        <v>1</v>
      </c>
      <c r="I4" t="s">
        <v>318</v>
      </c>
      <c r="J4" t="s">
        <v>317</v>
      </c>
      <c r="K4" s="30" t="s">
        <v>28</v>
      </c>
      <c r="L4" s="30" t="s">
        <v>16</v>
      </c>
      <c r="N4" t="s">
        <v>82</v>
      </c>
      <c r="O4" t="s">
        <v>153</v>
      </c>
      <c r="P4" s="4" t="s">
        <v>76</v>
      </c>
      <c r="Q4" s="4">
        <v>5</v>
      </c>
      <c r="R4" s="33">
        <v>6</v>
      </c>
      <c r="S4" s="8" t="s">
        <v>274</v>
      </c>
      <c r="T4" s="32">
        <v>100</v>
      </c>
      <c r="W4" s="8">
        <v>0</v>
      </c>
      <c r="X4" s="16">
        <v>0</v>
      </c>
      <c r="Y4" s="16">
        <v>0</v>
      </c>
      <c r="Z4" s="16">
        <v>0</v>
      </c>
      <c r="AA4" s="16">
        <v>0</v>
      </c>
      <c r="AB4" s="74">
        <v>100</v>
      </c>
      <c r="AC4" s="1">
        <v>44281</v>
      </c>
      <c r="AE4" s="32">
        <v>300</v>
      </c>
      <c r="AF4" s="32">
        <v>300</v>
      </c>
    </row>
    <row r="5" spans="1:32" x14ac:dyDescent="0.25">
      <c r="A5" s="30">
        <v>5</v>
      </c>
      <c r="B5" s="6">
        <v>44228</v>
      </c>
      <c r="F5" s="5">
        <v>3</v>
      </c>
      <c r="G5" s="4">
        <v>4</v>
      </c>
      <c r="H5">
        <v>1</v>
      </c>
      <c r="I5" t="s">
        <v>318</v>
      </c>
      <c r="J5" t="s">
        <v>317</v>
      </c>
      <c r="K5" s="30" t="s">
        <v>28</v>
      </c>
      <c r="L5" s="30" t="s">
        <v>16</v>
      </c>
      <c r="N5" t="s">
        <v>82</v>
      </c>
      <c r="O5" t="s">
        <v>153</v>
      </c>
      <c r="Q5" s="4">
        <v>5</v>
      </c>
      <c r="S5" s="8" t="s">
        <v>274</v>
      </c>
      <c r="AC5" s="1">
        <v>44281</v>
      </c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96844-86CC-4A2D-94BD-7F3F08940175}">
  <sheetPr codeName="Planilha13"/>
  <dimension ref="A1:F2"/>
  <sheetViews>
    <sheetView workbookViewId="0">
      <selection activeCell="F2" sqref="A2:F2"/>
    </sheetView>
  </sheetViews>
  <sheetFormatPr defaultRowHeight="15" x14ac:dyDescent="0.25"/>
  <cols>
    <col min="1" max="1" width="18.85546875" bestFit="1" customWidth="1"/>
    <col min="2" max="2" width="18" bestFit="1" customWidth="1"/>
    <col min="3" max="3" width="15.7109375" bestFit="1" customWidth="1"/>
    <col min="4" max="4" width="37.42578125" bestFit="1" customWidth="1"/>
    <col min="5" max="5" width="19.85546875" bestFit="1" customWidth="1"/>
    <col min="6" max="6" width="13.140625" bestFit="1" customWidth="1"/>
  </cols>
  <sheetData>
    <row r="1" spans="1:6" x14ac:dyDescent="0.25">
      <c r="A1" s="30" t="s">
        <v>313</v>
      </c>
      <c r="B1" s="30" t="s">
        <v>106</v>
      </c>
      <c r="C1" s="30" t="s">
        <v>110</v>
      </c>
      <c r="D1" s="30" t="s">
        <v>304</v>
      </c>
      <c r="E1" s="30" t="s">
        <v>305</v>
      </c>
      <c r="F1" s="30" t="s">
        <v>306</v>
      </c>
    </row>
    <row r="2" spans="1:6" x14ac:dyDescent="0.25">
      <c r="A2" s="65"/>
      <c r="B2" s="1"/>
      <c r="C2" s="1"/>
      <c r="D2" s="3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DBFBF-5A7C-45B4-98B5-FB7B0E5815E1}">
  <sheetPr codeName="Planilha23">
    <pageSetUpPr fitToPage="1"/>
  </sheetPr>
  <dimension ref="A1:XFC11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31" bestFit="1" customWidth="1"/>
    <col min="2" max="2" width="17.28515625" style="31" bestFit="1" customWidth="1"/>
    <col min="3" max="3" width="11.42578125" style="31" bestFit="1" customWidth="1"/>
    <col min="4" max="4" width="44.7109375" style="31" customWidth="1"/>
    <col min="5" max="5" width="29.85546875" style="8" customWidth="1"/>
    <col min="6" max="6" width="18" style="8" hidden="1" customWidth="1"/>
    <col min="7" max="7" width="15.42578125" style="8" hidden="1" customWidth="1"/>
    <col min="8" max="8" width="11.7109375" style="8" hidden="1" customWidth="1"/>
    <col min="9" max="9" width="11.85546875" style="8" hidden="1" customWidth="1"/>
    <col min="10" max="10" width="17.85546875" style="8" hidden="1" customWidth="1"/>
    <col min="11" max="11" width="18" style="8" hidden="1" customWidth="1"/>
    <col min="12" max="12" width="10.28515625" style="8" hidden="1" customWidth="1"/>
    <col min="13" max="13" width="8.85546875" style="8" hidden="1" customWidth="1"/>
    <col min="14" max="14" width="18.140625" style="31" hidden="1" customWidth="1"/>
    <col min="15" max="15" width="7.42578125" style="31" hidden="1" customWidth="1"/>
    <col min="16" max="16" width="10" style="31" hidden="1" customWidth="1"/>
    <col min="17" max="17" width="17.28515625" style="31" hidden="1" customWidth="1"/>
    <col min="18" max="18" width="15" style="31" hidden="1" customWidth="1"/>
    <col min="19" max="19" width="7.5703125" style="31" hidden="1" customWidth="1"/>
    <col min="20" max="21" width="13.5703125" style="14" hidden="1"/>
    <col min="22" max="22" width="12.28515625" style="14" hidden="1"/>
    <col min="23" max="23" width="13.140625" style="14" hidden="1"/>
    <col min="24" max="24" width="11.28515625" style="14" hidden="1"/>
    <col min="25" max="25" width="7.5703125" style="14" hidden="1"/>
    <col min="26" max="30" width="7.5703125" style="31" hidden="1"/>
    <col min="31" max="16383" width="9.140625" style="31" hidden="1"/>
    <col min="16384" max="16384" width="3.42578125" style="31" hidden="1"/>
  </cols>
  <sheetData>
    <row r="1" spans="1:27" ht="36" customHeight="1" thickBot="1" x14ac:dyDescent="0.4">
      <c r="A1" s="76" t="s">
        <v>310</v>
      </c>
      <c r="B1" s="76"/>
      <c r="C1" s="76"/>
      <c r="D1" s="76"/>
      <c r="E1" s="76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45"/>
      <c r="U1" s="45"/>
      <c r="V1" s="45"/>
      <c r="W1" s="45"/>
      <c r="X1" s="45"/>
      <c r="Y1" s="45"/>
      <c r="Z1" s="13"/>
      <c r="AA1" s="13"/>
    </row>
    <row r="2" spans="1:27" x14ac:dyDescent="0.25">
      <c r="A2" s="31" t="s">
        <v>300</v>
      </c>
      <c r="B2" s="63">
        <v>44228</v>
      </c>
      <c r="C2" s="30" t="s">
        <v>298</v>
      </c>
      <c r="D2" s="63">
        <v>44285</v>
      </c>
      <c r="F2" s="18" t="s">
        <v>106</v>
      </c>
      <c r="G2" s="18" t="s">
        <v>106</v>
      </c>
      <c r="H2" s="18"/>
      <c r="I2" s="18"/>
      <c r="J2" s="18"/>
      <c r="K2" s="18"/>
      <c r="L2" s="18"/>
      <c r="M2" s="18"/>
      <c r="O2" s="11"/>
      <c r="P2" s="11"/>
      <c r="Q2" s="14"/>
      <c r="R2" s="14"/>
      <c r="S2" s="14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/>
      <c r="B3"/>
      <c r="C3"/>
      <c r="D3"/>
      <c r="E3" s="17"/>
      <c r="F3" s="18" t="str">
        <f>"&gt;="&amp;IF($B$2="",0,$B$2)</f>
        <v>&gt;=44228</v>
      </c>
      <c r="G3" s="18" t="str">
        <f>"&lt;="&amp;IF($D$2="",999999,$D$2)</f>
        <v>&lt;=44285</v>
      </c>
      <c r="H3" s="18"/>
      <c r="I3" s="18"/>
      <c r="J3" s="18"/>
      <c r="K3" s="18"/>
      <c r="L3" s="18"/>
      <c r="M3" s="18"/>
      <c r="O3" s="11"/>
      <c r="P3" s="11"/>
      <c r="Q3" s="14"/>
      <c r="R3" s="14"/>
      <c r="S3" s="14"/>
      <c r="T3" s="47" t="str">
        <f>"&gt;="&amp;IF($B$2="",0,$B$2)</f>
        <v>&gt;=44228</v>
      </c>
      <c r="U3" s="47" t="str">
        <f>"&lt;="&amp;IF($D$2="",999999,$D$2)</f>
        <v>&lt;=44285</v>
      </c>
      <c r="V3" s="47" t="str">
        <f>IF($B$3&lt;&gt;"",$B$3,"")</f>
        <v/>
      </c>
      <c r="W3" s="47" t="e">
        <f>IF(#REF!&lt;&gt;"",#REF!,"")</f>
        <v>#REF!</v>
      </c>
      <c r="X3" s="47" t="e">
        <f>IF(#REF!&lt;&gt;"",#REF!,"")</f>
        <v>#REF!</v>
      </c>
      <c r="Y3" s="47" t="e">
        <f>IF(#REF!&lt;&gt;"",#REF!,"")</f>
        <v>#REF!</v>
      </c>
      <c r="Z3" s="11"/>
      <c r="AA3" s="11"/>
    </row>
    <row r="4" spans="1:27" x14ac:dyDescent="0.25">
      <c r="A4" s="9" t="s">
        <v>106</v>
      </c>
      <c r="B4" s="9" t="s">
        <v>110</v>
      </c>
      <c r="C4" s="9" t="s">
        <v>304</v>
      </c>
      <c r="D4" s="9" t="s">
        <v>305</v>
      </c>
      <c r="E4" s="9" t="s">
        <v>306</v>
      </c>
      <c r="F4" s="16"/>
      <c r="G4" s="16"/>
      <c r="H4" s="16"/>
      <c r="I4" s="16"/>
      <c r="J4" s="16"/>
      <c r="K4" s="16"/>
      <c r="L4" s="16"/>
      <c r="M4" s="16"/>
      <c r="N4" s="1"/>
      <c r="Q4" s="1"/>
      <c r="T4" s="3" t="s">
        <v>295</v>
      </c>
    </row>
    <row r="5" spans="1:27" x14ac:dyDescent="0.25">
      <c r="A5" s="1"/>
      <c r="B5" s="1"/>
      <c r="C5" s="32"/>
      <c r="E5" s="31"/>
      <c r="F5" s="16"/>
      <c r="G5" s="16"/>
      <c r="H5" s="16"/>
      <c r="I5" s="16"/>
      <c r="J5" s="16"/>
      <c r="K5" s="16"/>
      <c r="L5" s="16"/>
      <c r="M5" s="16"/>
      <c r="N5" s="1"/>
    </row>
    <row r="6" spans="1:27" x14ac:dyDescent="0.25">
      <c r="A6" s="1"/>
      <c r="B6" s="1"/>
      <c r="C6" s="32"/>
      <c r="E6" s="31"/>
      <c r="F6" s="16"/>
      <c r="G6" s="16"/>
      <c r="H6" s="16"/>
      <c r="I6" s="16"/>
      <c r="J6" s="16"/>
      <c r="K6" s="16"/>
      <c r="L6" s="16"/>
      <c r="M6" s="16"/>
      <c r="N6" s="1"/>
      <c r="P6" s="39"/>
      <c r="Q6" s="1"/>
    </row>
    <row r="7" spans="1:27" x14ac:dyDescent="0.25">
      <c r="A7" s="1"/>
      <c r="B7" s="1"/>
      <c r="C7" s="32"/>
      <c r="E7" s="31"/>
      <c r="F7" s="40"/>
      <c r="G7" s="40"/>
      <c r="H7" s="40"/>
      <c r="I7" s="40"/>
      <c r="J7" s="40"/>
      <c r="K7" s="40"/>
      <c r="L7" s="40"/>
      <c r="M7" s="40"/>
      <c r="N7" s="41"/>
      <c r="O7" s="10"/>
      <c r="P7" s="42"/>
      <c r="Q7" s="41"/>
      <c r="R7" s="10"/>
    </row>
    <row r="8" spans="1:27" x14ac:dyDescent="0.25">
      <c r="A8" s="1"/>
      <c r="B8" s="1"/>
      <c r="C8" s="32"/>
      <c r="E8" s="31"/>
    </row>
    <row r="9" spans="1:27" x14ac:dyDescent="0.25">
      <c r="A9" s="1"/>
      <c r="B9" s="1"/>
      <c r="C9" s="32"/>
      <c r="E9" s="31"/>
    </row>
    <row r="10" spans="1:27" x14ac:dyDescent="0.25">
      <c r="A10" s="1"/>
      <c r="B10" s="1"/>
      <c r="C10" s="32"/>
      <c r="E10" s="31"/>
    </row>
    <row r="11" spans="1:27" x14ac:dyDescent="0.25">
      <c r="A11" s="1"/>
      <c r="B11" s="1"/>
      <c r="C11" s="32"/>
      <c r="E11" s="31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XFC7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31" bestFit="1" customWidth="1"/>
    <col min="2" max="2" width="15.85546875" style="31" bestFit="1" customWidth="1"/>
    <col min="3" max="3" width="14.42578125" style="31" bestFit="1" customWidth="1"/>
    <col min="4" max="4" width="14.85546875" style="31" customWidth="1"/>
    <col min="5" max="5" width="16.42578125" style="8" customWidth="1"/>
    <col min="6" max="6" width="18" style="8" bestFit="1" customWidth="1"/>
    <col min="7" max="7" width="15.42578125" style="8" bestFit="1" customWidth="1"/>
    <col min="8" max="8" width="15.5703125" style="8" bestFit="1" customWidth="1"/>
    <col min="9" max="9" width="11.85546875" style="8" bestFit="1" customWidth="1"/>
    <col min="10" max="10" width="17.85546875" style="8" bestFit="1" customWidth="1"/>
    <col min="11" max="11" width="18" style="8" bestFit="1" customWidth="1"/>
    <col min="12" max="12" width="10.28515625" style="8" bestFit="1" customWidth="1"/>
    <col min="13" max="13" width="8.85546875" style="8" bestFit="1" customWidth="1"/>
    <col min="14" max="14" width="18.140625" style="31" bestFit="1" customWidth="1"/>
    <col min="15" max="15" width="7.42578125" style="31" bestFit="1" customWidth="1"/>
    <col min="16" max="16" width="10" style="31" bestFit="1" customWidth="1"/>
    <col min="17" max="17" width="17.28515625" style="31" bestFit="1" customWidth="1"/>
    <col min="18" max="18" width="15" style="31" bestFit="1" customWidth="1"/>
    <col min="19" max="19" width="4.85546875" customWidth="1"/>
    <col min="20" max="25" width="3.42578125" style="14" hidden="1"/>
    <col min="26" max="16382" width="3.42578125" hidden="1"/>
    <col min="16383" max="16383" width="5.28515625" hidden="1"/>
    <col min="16384" max="16384" width="4.7109375" hidden="1"/>
  </cols>
  <sheetData>
    <row r="1" spans="1:27" ht="36" customHeight="1" thickBot="1" x14ac:dyDescent="0.4">
      <c r="A1" s="76" t="s">
        <v>111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49"/>
      <c r="S1" s="13"/>
      <c r="T1" s="45"/>
      <c r="U1" s="45"/>
      <c r="V1" s="45"/>
      <c r="W1" s="45"/>
      <c r="X1" s="45"/>
      <c r="Y1" s="45"/>
      <c r="Z1" s="13"/>
      <c r="AA1" s="13"/>
    </row>
    <row r="2" spans="1:27" x14ac:dyDescent="0.25">
      <c r="A2" t="s">
        <v>300</v>
      </c>
      <c r="B2" s="48"/>
      <c r="C2" s="30" t="s">
        <v>298</v>
      </c>
      <c r="D2" s="48"/>
      <c r="F2" s="18"/>
      <c r="G2" s="18"/>
      <c r="H2" s="18"/>
      <c r="I2" s="18"/>
      <c r="J2" s="18"/>
      <c r="K2" s="18"/>
      <c r="L2" s="18"/>
      <c r="M2" s="18"/>
      <c r="N2"/>
      <c r="O2" s="11"/>
      <c r="P2" s="11"/>
      <c r="Q2" s="14"/>
      <c r="R2" s="14"/>
      <c r="S2" s="14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 s="10" t="s">
        <v>100</v>
      </c>
      <c r="B3" s="83"/>
      <c r="C3" s="83"/>
      <c r="D3" s="83"/>
      <c r="E3" s="17"/>
      <c r="F3" s="18"/>
      <c r="G3" s="18"/>
      <c r="H3" s="18"/>
      <c r="I3" s="18"/>
      <c r="J3" s="18"/>
      <c r="K3" s="18"/>
      <c r="L3" s="18"/>
      <c r="M3" s="18"/>
      <c r="N3"/>
      <c r="O3" s="11"/>
      <c r="P3" s="11"/>
      <c r="Q3" s="14"/>
      <c r="R3" s="14"/>
      <c r="S3" s="14"/>
      <c r="T3" s="47" t="str">
        <f>"&gt;="&amp;IF($B$2="",0,$B$2)</f>
        <v>&gt;=0</v>
      </c>
      <c r="U3" s="47" t="str">
        <f>"&lt;="&amp;IF($D$2="",999999,$D$2)</f>
        <v>&lt;=999999</v>
      </c>
      <c r="V3" s="47" t="str">
        <f>IF($B$3&lt;&gt;"",$B$3,"")</f>
        <v/>
      </c>
      <c r="W3" s="47" t="str">
        <f>IF($B$4&lt;&gt;"",$B$4,"")</f>
        <v/>
      </c>
      <c r="X3" s="47" t="str">
        <f>IF($B$5&lt;&gt;"",$B$5,"")</f>
        <v/>
      </c>
      <c r="Y3" s="47" t="str">
        <f>IF($B$6&lt;&gt;"",$B$6,"")</f>
        <v/>
      </c>
      <c r="Z3" s="11"/>
      <c r="AA3" s="11"/>
    </row>
    <row r="4" spans="1:27" x14ac:dyDescent="0.25">
      <c r="A4" s="10" t="s">
        <v>101</v>
      </c>
      <c r="B4" s="82"/>
      <c r="C4" s="82"/>
      <c r="D4" s="82"/>
      <c r="E4" s="17"/>
      <c r="F4" s="27"/>
      <c r="G4" s="18"/>
      <c r="H4" s="26"/>
      <c r="I4" s="26"/>
      <c r="J4" s="26"/>
      <c r="K4" s="26"/>
      <c r="L4" s="18"/>
      <c r="M4" s="18"/>
      <c r="N4" s="11"/>
      <c r="O4" s="11"/>
      <c r="P4" s="11"/>
      <c r="Q4" s="14"/>
      <c r="R4" s="14"/>
      <c r="S4" s="14"/>
      <c r="T4" s="11"/>
      <c r="U4" s="11"/>
      <c r="V4" s="11"/>
      <c r="W4" s="11"/>
      <c r="X4" s="11"/>
      <c r="Y4" s="11"/>
      <c r="Z4" s="11"/>
      <c r="AA4" s="11"/>
    </row>
    <row r="5" spans="1:27" x14ac:dyDescent="0.25">
      <c r="A5" s="12" t="s">
        <v>102</v>
      </c>
      <c r="B5" s="82"/>
      <c r="C5" s="82"/>
      <c r="D5" s="10"/>
      <c r="E5" s="19"/>
      <c r="F5" s="28"/>
      <c r="G5" s="18"/>
      <c r="H5" s="18"/>
      <c r="I5" s="18"/>
      <c r="J5" s="18"/>
      <c r="K5" s="18"/>
      <c r="L5" s="18"/>
      <c r="M5" s="18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x14ac:dyDescent="0.25">
      <c r="A6" s="12" t="s">
        <v>299</v>
      </c>
      <c r="B6" s="82"/>
      <c r="C6" s="82"/>
      <c r="D6"/>
      <c r="E6" s="20"/>
      <c r="F6" s="29"/>
      <c r="G6" s="18"/>
      <c r="H6" s="18"/>
      <c r="I6" s="18"/>
      <c r="J6" s="18"/>
      <c r="K6" s="18"/>
      <c r="L6" s="18"/>
      <c r="M6" s="18"/>
      <c r="N6" s="11"/>
      <c r="O6" s="11"/>
      <c r="P6" s="11"/>
      <c r="Q6" s="11"/>
      <c r="R6" s="11"/>
      <c r="S6" s="11"/>
      <c r="T6" s="11" t="s">
        <v>99</v>
      </c>
      <c r="U6" s="11" t="s">
        <v>109</v>
      </c>
      <c r="V6" s="11"/>
      <c r="W6" s="11"/>
      <c r="X6" s="11"/>
      <c r="Y6" s="11"/>
      <c r="Z6" s="11"/>
      <c r="AA6" s="11"/>
    </row>
    <row r="7" spans="1:27" x14ac:dyDescent="0.25">
      <c r="A7" s="9" t="s">
        <v>105</v>
      </c>
      <c r="B7" s="15" t="s">
        <v>51</v>
      </c>
      <c r="C7" s="15" t="s">
        <v>108</v>
      </c>
      <c r="D7" s="9" t="s">
        <v>86</v>
      </c>
      <c r="E7" s="7" t="s">
        <v>114</v>
      </c>
      <c r="F7" s="7" t="s">
        <v>61</v>
      </c>
      <c r="G7" s="7" t="s">
        <v>64</v>
      </c>
      <c r="H7" s="7" t="s">
        <v>65</v>
      </c>
      <c r="I7" s="7" t="s">
        <v>115</v>
      </c>
      <c r="J7" s="7" t="s">
        <v>97</v>
      </c>
      <c r="K7" s="7" t="s">
        <v>113</v>
      </c>
      <c r="L7" s="7" t="s">
        <v>66</v>
      </c>
      <c r="M7" s="7" t="s">
        <v>67</v>
      </c>
      <c r="N7" s="15" t="s">
        <v>106</v>
      </c>
      <c r="O7" s="15" t="s">
        <v>107</v>
      </c>
      <c r="P7" s="15" t="s">
        <v>98</v>
      </c>
      <c r="Q7" s="15" t="s">
        <v>110</v>
      </c>
      <c r="R7" s="15" t="s">
        <v>85</v>
      </c>
      <c r="T7" s="11" t="s">
        <v>288</v>
      </c>
      <c r="U7" s="11" t="s">
        <v>116</v>
      </c>
      <c r="V7" s="11"/>
      <c r="W7" s="11"/>
      <c r="X7" s="11"/>
      <c r="Y7" s="11"/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  <dataValidation type="list" allowBlank="1" showInputMessage="1" showErrorMessage="1" sqref="B6:C6" xr:uid="{10DEDED2-8C74-4F2C-BD4F-EA404F25653A}">
      <formula1>$U$6:$U$7</formula1>
    </dataValidation>
    <dataValidation type="list" allowBlank="1" showInputMessage="1" showErrorMessage="1" sqref="B5:C5" xr:uid="{3F959383-81DD-485B-BF73-6BA012EC08ED}">
      <formula1>$T$6:$T$7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>
    <pageSetUpPr fitToPage="1"/>
  </sheetPr>
  <dimension ref="A1:XFC7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31" bestFit="1" customWidth="1"/>
    <col min="2" max="2" width="15.85546875" style="31" bestFit="1" customWidth="1"/>
    <col min="3" max="3" width="11.42578125" style="31" bestFit="1" customWidth="1"/>
    <col min="4" max="4" width="14.140625" style="31" customWidth="1"/>
    <col min="5" max="5" width="17.28515625" style="8" customWidth="1"/>
    <col min="6" max="6" width="18" style="8" bestFit="1" customWidth="1"/>
    <col min="7" max="7" width="15.42578125" style="8" bestFit="1" customWidth="1"/>
    <col min="8" max="8" width="11.7109375" style="8" bestFit="1" customWidth="1"/>
    <col min="9" max="9" width="11.85546875" style="8" bestFit="1" customWidth="1"/>
    <col min="10" max="10" width="18" style="8" customWidth="1"/>
    <col min="11" max="11" width="18.5703125" style="8" bestFit="1" customWidth="1"/>
    <col min="12" max="12" width="19.140625" style="8" bestFit="1" customWidth="1"/>
    <col min="13" max="13" width="11.140625" style="8" bestFit="1" customWidth="1"/>
    <col min="14" max="14" width="22.7109375" style="31" bestFit="1" customWidth="1"/>
    <col min="15" max="15" width="11.140625" style="31" bestFit="1" customWidth="1"/>
    <col min="16" max="16" width="10" style="31" bestFit="1" customWidth="1"/>
    <col min="17" max="17" width="22.7109375" style="31" bestFit="1" customWidth="1"/>
    <col min="18" max="18" width="19.5703125" style="31" bestFit="1" customWidth="1"/>
    <col min="19" max="19" width="7.7109375" customWidth="1"/>
    <col min="20" max="20" width="7.5703125" hidden="1"/>
    <col min="21" max="21" width="13.5703125" hidden="1"/>
    <col min="22" max="22" width="8.7109375" hidden="1"/>
    <col min="23" max="23" width="15" hidden="1"/>
    <col min="24" max="24" width="9.140625" hidden="1"/>
    <col min="25" max="30" width="7.5703125" hidden="1"/>
    <col min="31" max="16383" width="9.140625" hidden="1"/>
    <col min="16384" max="16384" width="1.28515625" hidden="1"/>
  </cols>
  <sheetData>
    <row r="1" spans="1:27" ht="36" customHeight="1" thickBot="1" x14ac:dyDescent="0.4">
      <c r="A1" s="76" t="s">
        <v>117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49"/>
      <c r="S1" s="13"/>
      <c r="Z1" s="13"/>
      <c r="AA1" s="13"/>
    </row>
    <row r="2" spans="1:27" x14ac:dyDescent="0.25">
      <c r="A2" s="31" t="s">
        <v>300</v>
      </c>
      <c r="B2" s="48"/>
      <c r="C2" s="30" t="s">
        <v>298</v>
      </c>
      <c r="D2" s="48"/>
      <c r="L2" s="18"/>
      <c r="M2" s="22"/>
      <c r="N2" s="3"/>
      <c r="O2" s="3"/>
      <c r="P2" s="3"/>
      <c r="Q2" s="3"/>
      <c r="R2" s="3"/>
      <c r="S2" s="3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 s="10" t="s">
        <v>100</v>
      </c>
      <c r="B3" s="83"/>
      <c r="C3" s="83"/>
      <c r="D3" s="83"/>
      <c r="E3" s="17"/>
      <c r="L3" s="18"/>
      <c r="M3" s="22"/>
      <c r="N3" s="3"/>
      <c r="O3" s="3"/>
      <c r="P3" s="3"/>
      <c r="Q3" s="3"/>
      <c r="R3" s="3"/>
      <c r="S3" s="3"/>
      <c r="T3" s="47" t="str">
        <f>"&gt;="&amp;IF($B$2="",0,$B$2)</f>
        <v>&gt;=0</v>
      </c>
      <c r="U3" s="47" t="str">
        <f>"&lt;="&amp;IF($D$2="",99999,$D$2)</f>
        <v>&lt;=99999</v>
      </c>
      <c r="V3" s="47" t="str">
        <f>IF($B$3&lt;&gt;"",$B$3,"")</f>
        <v/>
      </c>
      <c r="W3" s="47" t="str">
        <f>IF($B$4&lt;&gt;"",$B$4,"")</f>
        <v/>
      </c>
      <c r="X3" s="47" t="str">
        <f>IF($B$5&lt;&gt;"",$B$5,"")</f>
        <v/>
      </c>
      <c r="Y3" s="47" t="str">
        <f>IF($B$6&lt;&gt;"",$B$6,"")</f>
        <v/>
      </c>
      <c r="Z3" s="11"/>
      <c r="AA3" s="11"/>
    </row>
    <row r="4" spans="1:27" x14ac:dyDescent="0.25">
      <c r="A4" s="10" t="s">
        <v>101</v>
      </c>
      <c r="B4" s="82"/>
      <c r="C4" s="82"/>
      <c r="D4" s="82"/>
      <c r="E4" s="17"/>
      <c r="F4" s="27"/>
      <c r="G4" s="18"/>
      <c r="H4" s="26"/>
      <c r="I4" s="26"/>
      <c r="J4" s="26"/>
      <c r="K4" s="26"/>
      <c r="L4" s="18"/>
      <c r="M4" s="22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11"/>
      <c r="AA4" s="11"/>
    </row>
    <row r="5" spans="1:27" x14ac:dyDescent="0.25">
      <c r="A5" s="12" t="s">
        <v>102</v>
      </c>
      <c r="B5" s="82"/>
      <c r="C5" s="82"/>
      <c r="D5" s="10"/>
      <c r="E5" s="19"/>
      <c r="F5" s="23"/>
      <c r="G5" s="22"/>
      <c r="H5" s="18"/>
      <c r="I5" s="18"/>
      <c r="J5" s="18"/>
      <c r="K5" s="18"/>
      <c r="L5" s="18"/>
      <c r="M5" s="22"/>
      <c r="N5" s="3"/>
      <c r="O5" s="3"/>
      <c r="P5" s="3"/>
      <c r="Q5" s="3"/>
      <c r="R5" s="3"/>
      <c r="S5" s="3"/>
      <c r="T5" s="50" t="s">
        <v>99</v>
      </c>
      <c r="U5" s="50" t="s">
        <v>109</v>
      </c>
      <c r="V5" s="3"/>
      <c r="W5" s="3"/>
      <c r="X5" s="3"/>
      <c r="Y5" s="3"/>
      <c r="Z5" s="11"/>
      <c r="AA5" s="11"/>
    </row>
    <row r="6" spans="1:27" x14ac:dyDescent="0.25">
      <c r="A6" s="12" t="s">
        <v>299</v>
      </c>
      <c r="B6" s="82"/>
      <c r="C6" s="82"/>
      <c r="D6"/>
      <c r="E6" s="20"/>
      <c r="F6" s="24"/>
      <c r="G6" s="22"/>
      <c r="H6" s="22"/>
      <c r="I6" s="22"/>
      <c r="J6" s="22"/>
      <c r="K6" s="22"/>
      <c r="L6" s="22"/>
      <c r="M6" s="18"/>
      <c r="N6" s="11"/>
      <c r="O6" s="11"/>
      <c r="P6" s="11"/>
      <c r="Q6" s="11"/>
      <c r="R6" s="11"/>
      <c r="S6" s="11"/>
      <c r="T6" s="51" t="s">
        <v>288</v>
      </c>
      <c r="U6" s="51" t="s">
        <v>116</v>
      </c>
      <c r="V6" s="11"/>
      <c r="W6" s="11"/>
      <c r="X6" s="11"/>
      <c r="Y6" s="11"/>
      <c r="Z6" s="11"/>
      <c r="AA6" s="11"/>
    </row>
    <row r="7" spans="1:27" x14ac:dyDescent="0.25">
      <c r="A7" s="15" t="s">
        <v>105</v>
      </c>
      <c r="B7" s="15" t="s">
        <v>51</v>
      </c>
      <c r="C7" s="15" t="s">
        <v>108</v>
      </c>
      <c r="D7" s="15" t="s">
        <v>86</v>
      </c>
      <c r="E7" s="15" t="s">
        <v>114</v>
      </c>
      <c r="F7" s="15" t="s">
        <v>61</v>
      </c>
      <c r="G7" s="15" t="s">
        <v>64</v>
      </c>
      <c r="H7" s="15" t="s">
        <v>65</v>
      </c>
      <c r="I7" s="15" t="s">
        <v>115</v>
      </c>
      <c r="J7" s="15" t="s">
        <v>97</v>
      </c>
      <c r="K7" s="15" t="s">
        <v>118</v>
      </c>
      <c r="L7" s="15" t="s">
        <v>66</v>
      </c>
      <c r="M7" s="15" t="s">
        <v>126</v>
      </c>
      <c r="N7" s="15" t="s">
        <v>106</v>
      </c>
      <c r="O7" s="15" t="s">
        <v>107</v>
      </c>
      <c r="P7" s="15" t="s">
        <v>98</v>
      </c>
      <c r="Q7" s="15" t="s">
        <v>84</v>
      </c>
      <c r="R7" s="15" t="s">
        <v>85</v>
      </c>
      <c r="T7" s="52" t="s">
        <v>295</v>
      </c>
      <c r="U7" s="53"/>
    </row>
  </sheetData>
  <autoFilter ref="A7:R7" xr:uid="{3449B979-AE93-442E-AE42-39FA06E0A448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1:D1 B3:D3" xr:uid="{E6E5D0D1-8C15-4B04-BF09-F71B3FE8E892}">
      <formula1>Perito</formula1>
    </dataValidation>
    <dataValidation type="list" allowBlank="1" showInputMessage="1" showErrorMessage="1" sqref="B6:C6" xr:uid="{DE9519F9-CBF9-4107-ACA4-D37B13AAA068}">
      <formula1>$U$5:$U$6</formula1>
    </dataValidation>
    <dataValidation type="list" allowBlank="1" showInputMessage="1" showErrorMessage="1" sqref="B5:C5" xr:uid="{6652049E-8443-4ACE-A8C7-663EF1A0D37F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6"/>
  <sheetViews>
    <sheetView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3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3" t="s">
        <v>89</v>
      </c>
      <c r="C1" t="s">
        <v>93</v>
      </c>
      <c r="D1" t="s">
        <v>80</v>
      </c>
      <c r="E1" t="s">
        <v>94</v>
      </c>
      <c r="F1" t="s">
        <v>95</v>
      </c>
    </row>
    <row r="2" spans="1:6" x14ac:dyDescent="0.25">
      <c r="A2" t="s">
        <v>120</v>
      </c>
      <c r="B2" s="33" t="s">
        <v>273</v>
      </c>
      <c r="C2" t="s">
        <v>260</v>
      </c>
      <c r="D2" s="16">
        <v>1.3</v>
      </c>
      <c r="E2" s="16">
        <v>50</v>
      </c>
      <c r="F2" s="16">
        <v>150</v>
      </c>
    </row>
    <row r="3" spans="1:6" x14ac:dyDescent="0.25">
      <c r="A3" s="31" t="s">
        <v>250</v>
      </c>
      <c r="B3" s="33" t="s">
        <v>274</v>
      </c>
      <c r="C3" s="31" t="s">
        <v>261</v>
      </c>
      <c r="D3" s="16">
        <v>1.2</v>
      </c>
      <c r="E3" s="16">
        <v>0</v>
      </c>
      <c r="F3" s="16">
        <v>180</v>
      </c>
    </row>
    <row r="4" spans="1:6" x14ac:dyDescent="0.25">
      <c r="A4" s="31" t="s">
        <v>251</v>
      </c>
      <c r="B4" s="33" t="s">
        <v>275</v>
      </c>
      <c r="C4" s="31" t="s">
        <v>262</v>
      </c>
      <c r="D4" s="16">
        <v>1.2</v>
      </c>
      <c r="E4" s="16">
        <v>60</v>
      </c>
      <c r="F4" s="16">
        <v>150</v>
      </c>
    </row>
    <row r="5" spans="1:6" x14ac:dyDescent="0.25">
      <c r="A5" s="31" t="s">
        <v>119</v>
      </c>
      <c r="B5" s="33" t="s">
        <v>276</v>
      </c>
      <c r="C5" s="31" t="s">
        <v>263</v>
      </c>
      <c r="D5" s="16">
        <v>0</v>
      </c>
      <c r="E5" s="16">
        <v>50</v>
      </c>
      <c r="F5" s="16">
        <v>120</v>
      </c>
    </row>
    <row r="6" spans="1:6" x14ac:dyDescent="0.25">
      <c r="A6" s="31" t="s">
        <v>252</v>
      </c>
      <c r="B6" s="33" t="s">
        <v>277</v>
      </c>
      <c r="C6" s="31" t="s">
        <v>264</v>
      </c>
      <c r="D6" s="16">
        <v>0</v>
      </c>
      <c r="E6" s="16">
        <v>70</v>
      </c>
      <c r="F6" s="16">
        <v>200</v>
      </c>
    </row>
    <row r="7" spans="1:6" x14ac:dyDescent="0.25">
      <c r="A7" s="31" t="s">
        <v>253</v>
      </c>
      <c r="B7" s="33" t="s">
        <v>278</v>
      </c>
      <c r="C7" s="31" t="s">
        <v>265</v>
      </c>
      <c r="D7" s="16">
        <v>0</v>
      </c>
      <c r="E7" s="16">
        <v>60</v>
      </c>
      <c r="F7" s="16">
        <v>150</v>
      </c>
    </row>
    <row r="8" spans="1:6" x14ac:dyDescent="0.25">
      <c r="A8" s="31" t="s">
        <v>254</v>
      </c>
      <c r="B8" s="33" t="s">
        <v>279</v>
      </c>
      <c r="C8" s="31" t="s">
        <v>266</v>
      </c>
      <c r="D8" s="16">
        <v>0</v>
      </c>
      <c r="E8" s="16">
        <v>0</v>
      </c>
      <c r="F8" s="16">
        <v>120</v>
      </c>
    </row>
    <row r="9" spans="1:6" x14ac:dyDescent="0.25">
      <c r="A9" s="31" t="s">
        <v>255</v>
      </c>
      <c r="B9" s="33" t="s">
        <v>287</v>
      </c>
      <c r="C9" s="31" t="s">
        <v>260</v>
      </c>
      <c r="D9" s="16">
        <v>1.2</v>
      </c>
      <c r="E9" s="16">
        <v>80</v>
      </c>
      <c r="F9" s="16">
        <v>160</v>
      </c>
    </row>
    <row r="10" spans="1:6" x14ac:dyDescent="0.25">
      <c r="A10" s="31" t="s">
        <v>255</v>
      </c>
      <c r="B10" s="33" t="s">
        <v>280</v>
      </c>
      <c r="C10" s="31" t="s">
        <v>260</v>
      </c>
      <c r="D10" s="16">
        <v>1.2</v>
      </c>
      <c r="E10" s="16">
        <v>70</v>
      </c>
      <c r="F10" s="16">
        <v>150</v>
      </c>
    </row>
    <row r="11" spans="1:6" x14ac:dyDescent="0.25">
      <c r="A11" s="31" t="s">
        <v>255</v>
      </c>
      <c r="B11" s="33" t="s">
        <v>281</v>
      </c>
      <c r="C11" s="31" t="s">
        <v>260</v>
      </c>
      <c r="D11" s="16">
        <v>1.25</v>
      </c>
      <c r="E11" s="16">
        <v>80</v>
      </c>
      <c r="F11" s="16">
        <v>160</v>
      </c>
    </row>
    <row r="12" spans="1:6" x14ac:dyDescent="0.25">
      <c r="A12" s="31" t="s">
        <v>256</v>
      </c>
      <c r="B12" s="33" t="s">
        <v>282</v>
      </c>
      <c r="C12" s="31" t="s">
        <v>267</v>
      </c>
      <c r="D12" s="16">
        <v>0</v>
      </c>
      <c r="E12" s="16">
        <v>70</v>
      </c>
      <c r="F12" s="16">
        <v>150</v>
      </c>
    </row>
    <row r="13" spans="1:6" x14ac:dyDescent="0.25">
      <c r="A13" s="31" t="s">
        <v>257</v>
      </c>
      <c r="B13" s="33" t="s">
        <v>283</v>
      </c>
      <c r="C13" s="31" t="s">
        <v>268</v>
      </c>
      <c r="D13" s="16">
        <v>1.5</v>
      </c>
      <c r="E13" s="16">
        <v>35</v>
      </c>
      <c r="F13" s="16">
        <v>0</v>
      </c>
    </row>
    <row r="14" spans="1:6" x14ac:dyDescent="0.25">
      <c r="A14" s="31" t="s">
        <v>255</v>
      </c>
      <c r="B14" s="33" t="s">
        <v>284</v>
      </c>
      <c r="C14" s="31" t="s">
        <v>260</v>
      </c>
      <c r="D14" s="16">
        <v>1.1000000000000001</v>
      </c>
      <c r="E14" s="16">
        <v>50</v>
      </c>
      <c r="F14" s="16">
        <v>120</v>
      </c>
    </row>
    <row r="15" spans="1:6" x14ac:dyDescent="0.25">
      <c r="A15" s="31" t="s">
        <v>258</v>
      </c>
      <c r="B15" s="33" t="s">
        <v>285</v>
      </c>
      <c r="C15" s="31" t="s">
        <v>269</v>
      </c>
      <c r="D15" s="16">
        <v>0</v>
      </c>
      <c r="E15" s="16">
        <v>0</v>
      </c>
      <c r="F15" s="16">
        <v>0</v>
      </c>
    </row>
    <row r="16" spans="1:6" x14ac:dyDescent="0.25">
      <c r="A16" s="31" t="s">
        <v>259</v>
      </c>
      <c r="B16" s="33" t="s">
        <v>286</v>
      </c>
      <c r="C16" s="31" t="s">
        <v>270</v>
      </c>
      <c r="D16" s="16">
        <v>0</v>
      </c>
      <c r="E16" s="16">
        <v>0</v>
      </c>
      <c r="F16" s="16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33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3" customFormat="1" ht="30" customHeight="1" x14ac:dyDescent="0.25">
      <c r="A1" s="34" t="s">
        <v>89</v>
      </c>
      <c r="B1" s="30" t="s">
        <v>90</v>
      </c>
      <c r="C1" s="30" t="s">
        <v>91</v>
      </c>
      <c r="D1" s="30" t="s">
        <v>92</v>
      </c>
      <c r="E1" s="30" t="s">
        <v>68</v>
      </c>
    </row>
    <row r="2" spans="1:5" x14ac:dyDescent="0.25">
      <c r="A2" s="33" t="s">
        <v>131</v>
      </c>
      <c r="B2" t="s">
        <v>155</v>
      </c>
      <c r="C2" t="s">
        <v>179</v>
      </c>
      <c r="D2" t="s">
        <v>203</v>
      </c>
      <c r="E2" t="s">
        <v>226</v>
      </c>
    </row>
    <row r="3" spans="1:5" x14ac:dyDescent="0.25">
      <c r="A3" s="33" t="s">
        <v>132</v>
      </c>
      <c r="B3" t="s">
        <v>156</v>
      </c>
      <c r="C3" t="s">
        <v>180</v>
      </c>
      <c r="D3" t="s">
        <v>204</v>
      </c>
      <c r="E3" t="s">
        <v>227</v>
      </c>
    </row>
    <row r="4" spans="1:5" x14ac:dyDescent="0.25">
      <c r="A4" s="33" t="s">
        <v>133</v>
      </c>
      <c r="B4" t="s">
        <v>157</v>
      </c>
      <c r="C4" t="s">
        <v>181</v>
      </c>
      <c r="D4" t="s">
        <v>205</v>
      </c>
      <c r="E4" t="s">
        <v>228</v>
      </c>
    </row>
    <row r="5" spans="1:5" x14ac:dyDescent="0.25">
      <c r="A5" s="33" t="s">
        <v>134</v>
      </c>
      <c r="B5" t="s">
        <v>158</v>
      </c>
      <c r="C5" t="s">
        <v>182</v>
      </c>
      <c r="D5" t="s">
        <v>206</v>
      </c>
      <c r="E5" t="s">
        <v>229</v>
      </c>
    </row>
    <row r="6" spans="1:5" x14ac:dyDescent="0.25">
      <c r="A6" s="33" t="s">
        <v>135</v>
      </c>
      <c r="B6" t="s">
        <v>159</v>
      </c>
      <c r="C6" t="s">
        <v>183</v>
      </c>
      <c r="D6" t="s">
        <v>207</v>
      </c>
      <c r="E6" t="s">
        <v>230</v>
      </c>
    </row>
    <row r="7" spans="1:5" x14ac:dyDescent="0.25">
      <c r="A7" s="33" t="s">
        <v>136</v>
      </c>
      <c r="B7" t="s">
        <v>160</v>
      </c>
      <c r="C7" t="s">
        <v>184</v>
      </c>
      <c r="D7" t="s">
        <v>208</v>
      </c>
      <c r="E7" t="s">
        <v>231</v>
      </c>
    </row>
    <row r="8" spans="1:5" x14ac:dyDescent="0.25">
      <c r="A8" s="33" t="s">
        <v>137</v>
      </c>
      <c r="B8" t="s">
        <v>161</v>
      </c>
      <c r="C8" t="s">
        <v>185</v>
      </c>
      <c r="D8" t="s">
        <v>209</v>
      </c>
      <c r="E8" t="s">
        <v>232</v>
      </c>
    </row>
    <row r="9" spans="1:5" x14ac:dyDescent="0.25">
      <c r="A9" s="33" t="s">
        <v>138</v>
      </c>
      <c r="B9" t="s">
        <v>162</v>
      </c>
      <c r="C9" t="s">
        <v>186</v>
      </c>
      <c r="D9" t="s">
        <v>210</v>
      </c>
      <c r="E9" t="s">
        <v>233</v>
      </c>
    </row>
    <row r="10" spans="1:5" x14ac:dyDescent="0.25">
      <c r="A10" s="33" t="s">
        <v>139</v>
      </c>
      <c r="B10" t="s">
        <v>163</v>
      </c>
      <c r="C10" t="s">
        <v>187</v>
      </c>
      <c r="D10" t="s">
        <v>211</v>
      </c>
      <c r="E10" t="s">
        <v>234</v>
      </c>
    </row>
    <row r="11" spans="1:5" x14ac:dyDescent="0.25">
      <c r="A11" s="33" t="s">
        <v>140</v>
      </c>
      <c r="B11" t="s">
        <v>164</v>
      </c>
      <c r="C11" t="s">
        <v>188</v>
      </c>
      <c r="D11" t="s">
        <v>212</v>
      </c>
      <c r="E11" t="s">
        <v>235</v>
      </c>
    </row>
    <row r="12" spans="1:5" x14ac:dyDescent="0.25">
      <c r="A12" s="33" t="s">
        <v>141</v>
      </c>
      <c r="B12" t="s">
        <v>165</v>
      </c>
      <c r="C12" t="s">
        <v>189</v>
      </c>
      <c r="D12" t="s">
        <v>213</v>
      </c>
      <c r="E12" t="s">
        <v>236</v>
      </c>
    </row>
    <row r="13" spans="1:5" x14ac:dyDescent="0.25">
      <c r="A13" s="33" t="s">
        <v>142</v>
      </c>
      <c r="B13" t="s">
        <v>166</v>
      </c>
      <c r="C13" t="s">
        <v>190</v>
      </c>
      <c r="D13" t="s">
        <v>214</v>
      </c>
      <c r="E13" t="s">
        <v>237</v>
      </c>
    </row>
    <row r="14" spans="1:5" x14ac:dyDescent="0.25">
      <c r="A14" s="33" t="s">
        <v>143</v>
      </c>
      <c r="B14" t="s">
        <v>167</v>
      </c>
      <c r="C14" t="s">
        <v>191</v>
      </c>
      <c r="D14" t="s">
        <v>215</v>
      </c>
      <c r="E14" t="s">
        <v>238</v>
      </c>
    </row>
    <row r="15" spans="1:5" x14ac:dyDescent="0.25">
      <c r="A15" s="33" t="s">
        <v>144</v>
      </c>
      <c r="B15" t="s">
        <v>168</v>
      </c>
      <c r="C15" t="s">
        <v>192</v>
      </c>
      <c r="D15" t="s">
        <v>216</v>
      </c>
      <c r="E15" t="s">
        <v>239</v>
      </c>
    </row>
    <row r="16" spans="1:5" x14ac:dyDescent="0.25">
      <c r="A16" s="33" t="s">
        <v>145</v>
      </c>
      <c r="B16" t="s">
        <v>169</v>
      </c>
      <c r="C16" t="s">
        <v>193</v>
      </c>
      <c r="D16" t="s">
        <v>217</v>
      </c>
      <c r="E16" t="s">
        <v>240</v>
      </c>
    </row>
    <row r="17" spans="1:5" x14ac:dyDescent="0.25">
      <c r="A17" s="33" t="s">
        <v>146</v>
      </c>
      <c r="B17" t="s">
        <v>170</v>
      </c>
      <c r="C17" t="s">
        <v>194</v>
      </c>
      <c r="D17" t="s">
        <v>218</v>
      </c>
      <c r="E17" t="s">
        <v>241</v>
      </c>
    </row>
    <row r="18" spans="1:5" x14ac:dyDescent="0.25">
      <c r="A18" s="33" t="s">
        <v>147</v>
      </c>
      <c r="B18" t="s">
        <v>171</v>
      </c>
      <c r="C18" t="s">
        <v>195</v>
      </c>
      <c r="D18" t="s">
        <v>219</v>
      </c>
      <c r="E18" t="s">
        <v>242</v>
      </c>
    </row>
    <row r="19" spans="1:5" x14ac:dyDescent="0.25">
      <c r="A19" s="33" t="s">
        <v>148</v>
      </c>
      <c r="B19" t="s">
        <v>172</v>
      </c>
      <c r="C19" t="s">
        <v>196</v>
      </c>
      <c r="D19" t="s">
        <v>220</v>
      </c>
      <c r="E19" t="s">
        <v>243</v>
      </c>
    </row>
    <row r="20" spans="1:5" x14ac:dyDescent="0.25">
      <c r="A20" s="33" t="s">
        <v>149</v>
      </c>
      <c r="B20" t="s">
        <v>173</v>
      </c>
      <c r="C20" t="s">
        <v>197</v>
      </c>
      <c r="D20" t="s">
        <v>221</v>
      </c>
      <c r="E20" t="s">
        <v>244</v>
      </c>
    </row>
    <row r="21" spans="1:5" x14ac:dyDescent="0.25">
      <c r="A21" s="33" t="s">
        <v>150</v>
      </c>
      <c r="B21" t="s">
        <v>174</v>
      </c>
      <c r="C21" t="s">
        <v>198</v>
      </c>
      <c r="D21" t="s">
        <v>222</v>
      </c>
      <c r="E21" t="s">
        <v>245</v>
      </c>
    </row>
    <row r="22" spans="1:5" x14ac:dyDescent="0.25">
      <c r="A22" s="33" t="s">
        <v>151</v>
      </c>
      <c r="B22" t="s">
        <v>175</v>
      </c>
      <c r="C22" t="s">
        <v>199</v>
      </c>
      <c r="D22" t="s">
        <v>223</v>
      </c>
      <c r="E22" t="s">
        <v>246</v>
      </c>
    </row>
    <row r="23" spans="1:5" x14ac:dyDescent="0.25">
      <c r="A23" s="33" t="s">
        <v>152</v>
      </c>
      <c r="B23" t="s">
        <v>176</v>
      </c>
      <c r="C23" t="s">
        <v>200</v>
      </c>
      <c r="D23" t="s">
        <v>224</v>
      </c>
      <c r="E23" t="s">
        <v>247</v>
      </c>
    </row>
    <row r="24" spans="1:5" x14ac:dyDescent="0.25">
      <c r="A24" s="33" t="s">
        <v>153</v>
      </c>
      <c r="B24" t="s">
        <v>177</v>
      </c>
      <c r="C24" t="s">
        <v>201</v>
      </c>
      <c r="D24" t="s">
        <v>225</v>
      </c>
      <c r="E24" t="s">
        <v>248</v>
      </c>
    </row>
    <row r="25" spans="1:5" x14ac:dyDescent="0.25">
      <c r="A25" s="33" t="s">
        <v>154</v>
      </c>
      <c r="B25" t="s">
        <v>178</v>
      </c>
      <c r="C25" t="s">
        <v>202</v>
      </c>
      <c r="D25" t="s">
        <v>223</v>
      </c>
      <c r="E25" t="s">
        <v>249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314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6" sqref="A6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73</v>
      </c>
    </row>
    <row r="2" spans="1:1" x14ac:dyDescent="0.25">
      <c r="A2" t="s">
        <v>81</v>
      </c>
    </row>
    <row r="3" spans="1:1" x14ac:dyDescent="0.25">
      <c r="A3" t="s">
        <v>74</v>
      </c>
    </row>
    <row r="4" spans="1:1" x14ac:dyDescent="0.25">
      <c r="A4" t="s">
        <v>76</v>
      </c>
    </row>
    <row r="5" spans="1:1" x14ac:dyDescent="0.25">
      <c r="A5" t="s">
        <v>77</v>
      </c>
    </row>
    <row r="6" spans="1:1" x14ac:dyDescent="0.25">
      <c r="A6" t="s">
        <v>78</v>
      </c>
    </row>
    <row r="7" spans="1:1" x14ac:dyDescent="0.25">
      <c r="A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21</vt:i4>
      </vt:variant>
    </vt:vector>
  </HeadingPairs>
  <TitlesOfParts>
    <vt:vector size="45" baseType="lpstr">
      <vt:lpstr>Inicial</vt:lpstr>
      <vt:lpstr>Vistoria</vt:lpstr>
      <vt:lpstr>DashResultado</vt:lpstr>
      <vt:lpstr>DashboardAReceber</vt:lpstr>
      <vt:lpstr>DashboardApagar</vt:lpstr>
      <vt:lpstr>TbDinamicaApagar</vt:lpstr>
      <vt:lpstr>TbDinamicaDespesas</vt:lpstr>
      <vt:lpstr>TbDinamicaReceber</vt:lpstr>
      <vt:lpstr>ContasApagar</vt:lpstr>
      <vt:lpstr>ContasAreceber</vt:lpstr>
      <vt:lpstr>CadPenhor</vt:lpstr>
      <vt:lpstr>CadPericia</vt:lpstr>
      <vt:lpstr>Despesas</vt:lpstr>
      <vt:lpstr>RelDespesas</vt:lpstr>
      <vt:lpstr>RelContasApagar</vt:lpstr>
      <vt:lpstr>RelContasAReceber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Vistoria!Criterios</vt:lpstr>
      <vt:lpstr>Cultura</vt:lpstr>
      <vt:lpstr>Perito</vt:lpstr>
      <vt:lpstr>segurado</vt:lpstr>
      <vt:lpstr>SeguradoPenhor</vt:lpstr>
      <vt:lpstr>SeguradoPenhor1</vt:lpstr>
      <vt:lpstr>seguradopericaia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2021-03-07T05:04:58Z</cp:lastPrinted>
  <dcterms:created xsi:type="dcterms:W3CDTF">2021-01-16T20:15:46Z</dcterms:created>
  <dcterms:modified xsi:type="dcterms:W3CDTF">2021-03-27T04:29:50Z</dcterms:modified>
</cp:coreProperties>
</file>