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BD78A4CD-585D-47AD-AEB0-0F388D445B73}" xr6:coauthVersionLast="46" xr6:coauthVersionMax="46" xr10:uidLastSave="{00000000-0000-0000-0000-000000000000}"/>
  <bookViews>
    <workbookView xWindow="-120" yWindow="-120" windowWidth="20730" windowHeight="11160" firstSheet="5" activeTab="8" xr2:uid="{E0D4B125-8ABE-41E3-AD67-A9BA722874B8}"/>
  </bookViews>
  <sheets>
    <sheet name="Inicial" sheetId="2" r:id="rId1"/>
    <sheet name="Vistoria" sheetId="25" r:id="rId2"/>
    <sheet name="RelContasApagar" sheetId="18" r:id="rId3"/>
    <sheet name="ContasApagar" sheetId="16" r:id="rId4"/>
    <sheet name="CadPenhor" sheetId="5" r:id="rId5"/>
    <sheet name="CadPericia" sheetId="6" r:id="rId6"/>
    <sheet name="ContasAreceber" sheetId="17" r:id="rId7"/>
    <sheet name="RelContasAReceber" sheetId="20" r:id="rId8"/>
    <sheet name="TbDinamicaApagar" sheetId="24" r:id="rId9"/>
    <sheet name="DashboardApagar" sheetId="21" r:id="rId10"/>
    <sheet name="TbDinamicaReceber" sheetId="23" r:id="rId11"/>
    <sheet name="DashboardAReceber" sheetId="22" r:id="rId12"/>
    <sheet name="CadSeguradora" sheetId="1" r:id="rId13"/>
    <sheet name="CadPerito" sheetId="7" r:id="rId14"/>
    <sheet name="Cidades" sheetId="4" r:id="rId15"/>
    <sheet name="Cultura" sheetId="11" r:id="rId16"/>
    <sheet name="Sinistro" sheetId="10" r:id="rId17"/>
    <sheet name="TipoBenSeg" sheetId="8" r:id="rId18"/>
    <sheet name="TipoVistoria" sheetId="9" r:id="rId19"/>
    <sheet name="Estados" sheetId="3" r:id="rId20"/>
  </sheets>
  <definedNames>
    <definedName name="_xlnm._FilterDatabase" localSheetId="4" hidden="1">CadPenhor!$A$1:$AH$4</definedName>
    <definedName name="_xlnm._FilterDatabase" localSheetId="5" hidden="1">CadPericia!$A$1:$AE$4</definedName>
    <definedName name="_xlnm._FilterDatabase" localSheetId="3" hidden="1">ContasApagar!$A$1:$R$5</definedName>
    <definedName name="_xlnm._FilterDatabase" localSheetId="6" hidden="1">ContasAreceber!$A$1:$R$5</definedName>
    <definedName name="_xlnm._FilterDatabase" localSheetId="2" hidden="1">RelContasApagar!$A$7:$R$7</definedName>
    <definedName name="_xlnm._FilterDatabase" localSheetId="7" hidden="1">RelContasAReceber!$A$7:$R$7</definedName>
    <definedName name="_xlnm.Extract" localSheetId="5">CadPericia!#REF!</definedName>
    <definedName name="_xlnm.Extract" localSheetId="0">Inicial!#REF!</definedName>
    <definedName name="_xlnm.Extract" localSheetId="2">RelContasApagar!$A$7:$R$7</definedName>
    <definedName name="_xlnm.Extract" localSheetId="7">RelContasAReceber!$A$7:$R$7</definedName>
    <definedName name="cidades">Cidades!$A:$A</definedName>
    <definedName name="_xlnm.Criteria" localSheetId="5">CadPericia!$J$2:$N$3</definedName>
    <definedName name="_xlnm.Criteria" localSheetId="0">Inicial!$J$2:$N$3</definedName>
    <definedName name="_xlnm.Criteria" localSheetId="2">RelContasApagar!$V$2:$Y$3</definedName>
    <definedName name="_xlnm.Criteria" localSheetId="7">RelContasAReceber!$H$2:$K$3</definedName>
    <definedName name="_xlnm.Criteria" localSheetId="1">Vistoria!$F$2:$L$3</definedName>
    <definedName name="Cultura">Cultura!$A:$A</definedName>
    <definedName name="NativeTimeline_DT_VISTORIA">#N/A</definedName>
    <definedName name="NativeTimeline_DT_VISTORIA1">#N/A</definedName>
    <definedName name="NativeTimeline_DT_VISTORIA3">#N/A</definedName>
    <definedName name="Perito">CadPerito!$A:$A</definedName>
    <definedName name="SegmentaçãodeDados_PERITO">#N/A</definedName>
    <definedName name="SegmentaçãodeDados_PERITO1">#N/A</definedName>
    <definedName name="SegmentaçãodeDados_SEGURADORA">#N/A</definedName>
    <definedName name="SegmentaçãodeDados_SEGURADORA1">#N/A</definedName>
    <definedName name="SegmentaçãodeDados_STATUS">#N/A</definedName>
    <definedName name="SegmentaçãodeDados_STATUS1">#N/A</definedName>
    <definedName name="SegmentaçãodeDados_TIPO">#N/A</definedName>
    <definedName name="SegmentaçãodeDados_TIPO1">#N/A</definedName>
    <definedName name="SeguradoPenhor">CadPenhor!$G:$G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pivotCaches>
    <pivotCache cacheId="0" r:id="rId21"/>
    <pivotCache cacheId="62" r:id="rId22"/>
    <pivotCache cacheId="71" r:id="rId23"/>
    <pivotCache cacheId="89" r:id="rId24"/>
  </pivotCaches>
  <extLs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" i="24" l="1"/>
  <c r="AG4" i="24"/>
  <c r="AF4" i="24"/>
  <c r="AE4" i="24"/>
  <c r="AD4" i="24"/>
  <c r="AC4" i="24"/>
  <c r="AB4" i="24"/>
  <c r="AA4" i="24"/>
  <c r="X4" i="24"/>
  <c r="U3" i="18"/>
  <c r="T3" i="18"/>
  <c r="AG4" i="23" l="1"/>
  <c r="AG5" i="23"/>
  <c r="AG6" i="23"/>
  <c r="AF4" i="23"/>
  <c r="AF5" i="23"/>
  <c r="AF6" i="23"/>
  <c r="AE4" i="23"/>
  <c r="AE5" i="23"/>
  <c r="AE6" i="23"/>
  <c r="AD4" i="23"/>
  <c r="AD5" i="23"/>
  <c r="AD6" i="23"/>
  <c r="AC4" i="23"/>
  <c r="AC5" i="23"/>
  <c r="AC6" i="23"/>
  <c r="AB4" i="23"/>
  <c r="AB5" i="23"/>
  <c r="AB6" i="23"/>
  <c r="AA4" i="23"/>
  <c r="AA5" i="23"/>
  <c r="AA6" i="23"/>
  <c r="X4" i="23"/>
  <c r="X5" i="23"/>
  <c r="X6" i="23"/>
  <c r="S5" i="24"/>
  <c r="S6" i="24"/>
  <c r="S7" i="24"/>
  <c r="S8" i="24"/>
  <c r="S9" i="24"/>
  <c r="V3" i="23"/>
  <c r="X3" i="23"/>
  <c r="AG5" i="24"/>
  <c r="AG6" i="24"/>
  <c r="AF5" i="24"/>
  <c r="AF6" i="24"/>
  <c r="AE5" i="24"/>
  <c r="AE6" i="24"/>
  <c r="AD5" i="24"/>
  <c r="AD6" i="24"/>
  <c r="AC5" i="24"/>
  <c r="AC6" i="24"/>
  <c r="AB5" i="24"/>
  <c r="AB6" i="24"/>
  <c r="AA5" i="24"/>
  <c r="AA6" i="24"/>
  <c r="X5" i="24"/>
  <c r="X6" i="24"/>
  <c r="AG3" i="23"/>
  <c r="AF3" i="23"/>
  <c r="AE3" i="23"/>
  <c r="AD3" i="23"/>
  <c r="AC3" i="23"/>
  <c r="AB3" i="23"/>
  <c r="AA3" i="23"/>
  <c r="AG3" i="24"/>
  <c r="AF3" i="24"/>
  <c r="AE3" i="24"/>
  <c r="AD3" i="24"/>
  <c r="AC3" i="24"/>
  <c r="AB3" i="24"/>
  <c r="AA3" i="24"/>
  <c r="X3" i="24"/>
  <c r="V3" i="24"/>
  <c r="S3" i="24"/>
  <c r="V4" i="24"/>
  <c r="S4" i="23"/>
  <c r="S5" i="23"/>
  <c r="S6" i="23"/>
  <c r="S7" i="23"/>
  <c r="S8" i="23"/>
  <c r="S9" i="23"/>
  <c r="V4" i="23"/>
  <c r="S3" i="23"/>
  <c r="K3" i="20"/>
  <c r="J3" i="20"/>
  <c r="I3" i="20"/>
  <c r="H3" i="20"/>
  <c r="G3" i="20"/>
  <c r="F3" i="20"/>
  <c r="W3" i="18"/>
  <c r="V3" i="18"/>
  <c r="Y3" i="18"/>
  <c r="X3" i="18"/>
</calcChain>
</file>

<file path=xl/sharedStrings.xml><?xml version="1.0" encoding="utf-8"?>
<sst xmlns="http://schemas.openxmlformats.org/spreadsheetml/2006/main" count="567" uniqueCount="183">
  <si>
    <t>CNPJ</t>
  </si>
  <si>
    <t>teste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</si>
  <si>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</si>
  <si>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</si>
  <si>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</si>
  <si>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</si>
  <si>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</si>
  <si>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</si>
  <si>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</si>
  <si>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</si>
  <si>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</si>
  <si>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</si>
  <si>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</si>
  <si>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</si>
  <si>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</si>
  <si>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</si>
  <si>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</si>
  <si>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</si>
  <si>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</si>
  <si>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</si>
  <si>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</si>
  <si>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</si>
  <si>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</si>
  <si>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</si>
  <si>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</si>
  <si>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</si>
  <si>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</si>
  <si>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</si>
  <si>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</si>
  <si>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</si>
  <si>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</si>
  <si>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</si>
  <si>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</si>
  <si>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</si>
  <si>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</si>
  <si>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</si>
  <si>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</si>
  <si>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</si>
  <si>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</si>
  <si>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</si>
  <si>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</si>
  <si>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</si>
  <si>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</si>
  <si>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</si>
  <si>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PAGTO SEGURADORA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</si>
  <si>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</si>
  <si>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</si>
  <si>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</si>
  <si>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</si>
  <si>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</si>
  <si>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</si>
  <si>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</si>
  <si>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</si>
  <si>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 xml:space="preserve"> PEDÁGIO 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</si>
  <si>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</si>
  <si>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</si>
  <si>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</si>
  <si>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</si>
  <si>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</si>
  <si>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</si>
  <si>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</si>
  <si>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</si>
  <si>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</si>
  <si>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 xml:space="preserve"> HONORÁRIO R$ 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</si>
  <si>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</si>
  <si>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</si>
  <si>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</si>
  <si>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</si>
  <si>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</si>
  <si>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</si>
  <si>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</si>
  <si>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</si>
  <si>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Marcilio</t>
  </si>
  <si>
    <t>CPF</t>
  </si>
  <si>
    <t>Vinicius</t>
  </si>
  <si>
    <t>(44) 99916-8055</t>
  </si>
  <si>
    <t>Maquinas</t>
  </si>
  <si>
    <t>Equipamentos</t>
  </si>
  <si>
    <t>Benfeitorias</t>
  </si>
  <si>
    <t>Produto Colhido</t>
  </si>
  <si>
    <t>Porto seguro</t>
  </si>
  <si>
    <t>Itau</t>
  </si>
  <si>
    <t>Banco do Brasil</t>
  </si>
  <si>
    <t>Bradesco</t>
  </si>
  <si>
    <t>Liberty</t>
  </si>
  <si>
    <t>Cleiton</t>
  </si>
  <si>
    <t>Marcos</t>
  </si>
  <si>
    <t>Preliminar</t>
  </si>
  <si>
    <t>Final</t>
  </si>
  <si>
    <t>Sinistro</t>
  </si>
  <si>
    <t>Monitoramento</t>
  </si>
  <si>
    <t>Prévia</t>
  </si>
  <si>
    <t>Agravamento</t>
  </si>
  <si>
    <t>Revistoria</t>
  </si>
  <si>
    <t>Roubo</t>
  </si>
  <si>
    <t>KM R$</t>
  </si>
  <si>
    <t>Preliminar/Final</t>
  </si>
  <si>
    <t>Pedro</t>
  </si>
  <si>
    <t xml:space="preserve">Soja </t>
  </si>
  <si>
    <t>Milho</t>
  </si>
  <si>
    <t>DT RECEBIMENTO</t>
  </si>
  <si>
    <t>SEGURADORA</t>
  </si>
  <si>
    <t>TIPO DO BEN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</si>
  <si>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</si>
  <si>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</si>
  <si>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</si>
  <si>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</si>
  <si>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</si>
  <si>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</si>
  <si>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</si>
  <si>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</si>
  <si>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</si>
  <si>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</si>
  <si>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</si>
  <si>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DT LANÇAMENTO</t>
  </si>
  <si>
    <t>22/02/2021</t>
  </si>
  <si>
    <t>PASSAGEM ÁERA</t>
  </si>
  <si>
    <t>STATUS</t>
  </si>
  <si>
    <t>Aberto</t>
  </si>
  <si>
    <t>Perito :</t>
  </si>
  <si>
    <t>Seguradora :</t>
  </si>
  <si>
    <t>PAGTO PERITO</t>
  </si>
  <si>
    <t>Status:</t>
  </si>
  <si>
    <t>STATUS SEGURADORA</t>
  </si>
  <si>
    <t>STATUS PERITO</t>
  </si>
  <si>
    <t>PERITO</t>
  </si>
  <si>
    <t>DT LANCAMENTO</t>
  </si>
  <si>
    <t>TIPO</t>
  </si>
  <si>
    <t>APOLICE</t>
  </si>
  <si>
    <t>Penhor</t>
  </si>
  <si>
    <t>DT PAGAMENTO</t>
  </si>
  <si>
    <t>Relatório de Contas A pagar</t>
  </si>
  <si>
    <t>Tipo</t>
  </si>
  <si>
    <t>&gt; Penhor ou Pericia</t>
  </si>
  <si>
    <t>&gt; Aberto ou Liquidado</t>
  </si>
  <si>
    <t>(vazio)</t>
  </si>
  <si>
    <t xml:space="preserve">ALUGUEL CARRO </t>
  </si>
  <si>
    <t xml:space="preserve">HONORÁRIO R$ </t>
  </si>
  <si>
    <t xml:space="preserve">PEDÁGIO </t>
  </si>
  <si>
    <t>Pericia</t>
  </si>
  <si>
    <t>Relatório de Contas A Receber</t>
  </si>
  <si>
    <t>ALUGUEL CARRO</t>
  </si>
  <si>
    <t>Valores Seguradora</t>
  </si>
  <si>
    <t>Sicoob Seguradora</t>
  </si>
  <si>
    <t>Sicred seguros</t>
  </si>
  <si>
    <t>Valores Penho e pericia</t>
  </si>
  <si>
    <t>Honorários</t>
  </si>
  <si>
    <t>KM</t>
  </si>
  <si>
    <t>Hotel</t>
  </si>
  <si>
    <t>Refeição</t>
  </si>
  <si>
    <t>Perito</t>
  </si>
  <si>
    <t>Pedágio</t>
  </si>
  <si>
    <t>Passagem</t>
  </si>
  <si>
    <t>Aluguel Carro</t>
  </si>
  <si>
    <t>Outros</t>
  </si>
  <si>
    <t/>
  </si>
  <si>
    <t>25/02/2021</t>
  </si>
  <si>
    <t>21/02/2021</t>
  </si>
  <si>
    <t>Vinicius Tessele</t>
  </si>
  <si>
    <t>Rua Carlos DallAgnolo 121</t>
  </si>
  <si>
    <t>28.196.889/0001-43</t>
  </si>
  <si>
    <t>BrasilSeg</t>
  </si>
  <si>
    <t>AVENIDA DAS NACOES UNIDAS</t>
  </si>
  <si>
    <t>Marcos Dutra</t>
  </si>
  <si>
    <t>26.609.195/0001-65</t>
  </si>
  <si>
    <t>NEWE SEGUROS S.A</t>
  </si>
  <si>
    <t>Avenida Rio Branco</t>
  </si>
  <si>
    <t>Emerson</t>
  </si>
  <si>
    <t>José</t>
  </si>
  <si>
    <t>Liquidado</t>
  </si>
  <si>
    <t>KM R$ EMPR2</t>
  </si>
  <si>
    <t>Jose</t>
  </si>
  <si>
    <t>Fernando</t>
  </si>
  <si>
    <t>TIPO DO BEM</t>
  </si>
  <si>
    <t xml:space="preserve"> HONORÁRIO R$  </t>
  </si>
  <si>
    <t xml:space="preserve">KM  </t>
  </si>
  <si>
    <t xml:space="preserve">HOTEL </t>
  </si>
  <si>
    <t xml:space="preserve">REFEIÇÃO </t>
  </si>
  <si>
    <t xml:space="preserve">TOTAL </t>
  </si>
  <si>
    <t xml:space="preserve">TOTAL  </t>
  </si>
  <si>
    <t>Relatório Vistorias pendentes</t>
  </si>
  <si>
    <t>Pericias</t>
  </si>
  <si>
    <t>DT AGENDAMENTO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</si>
</sst>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#,##0.00;\-&quot;R$&quot;#,##0.00"/>
    <numFmt numFmtId="44" formatCode="_-&quot;R$&quot;* #,##0.00_-;\-&quot;R$&quot;* #,##0.00_-;_-&quot;R$&quot;* &quot;-&quot;??_-;_-@_-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66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0" fontId="2" fillId="0" borderId="0" xfId="0" applyFont="1" applyAlignment="1"/>
    <xf numFmtId="49" fontId="1" fillId="2" borderId="1" xfId="0" applyNumberFormat="1" applyFont="1" applyFill="1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2" fillId="0" borderId="0" xfId="0" applyFont="1"/>
    <xf numFmtId="2" fontId="1" fillId="2" borderId="1" xfId="0" applyNumberFormat="1" applyFont="1" applyFill="1" applyBorder="1" applyAlignment="1">
      <alignment horizontal="center"/>
    </xf>
    <xf numFmtId="2" fontId="0" fillId="0" borderId="0" xfId="0" applyNumberFormat="1"/>
    <xf numFmtId="1" fontId="1" fillId="2" borderId="1" xfId="0" applyNumberFormat="1" applyFont="1" applyFill="1" applyBorder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/>
    </xf>
    <xf numFmtId="14" fontId="1" fillId="2" borderId="1" xfId="0" applyNumberFormat="1" applyFont="1" applyFill="1" applyBorder="1" applyAlignment="1">
      <alignment horizontal="right"/>
    </xf>
    <xf numFmtId="14" fontId="0" fillId="0" borderId="0" xfId="0" applyNumberFormat="1" applyAlignment="1">
      <alignment horizontal="right"/>
    </xf>
    <xf numFmtId="44" fontId="1" fillId="2" borderId="1" xfId="1" applyFont="1" applyFill="1" applyBorder="1" applyAlignment="1">
      <alignment horizontal="center"/>
    </xf>
    <xf numFmtId="44" fontId="0" fillId="0" borderId="0" xfId="1" applyFont="1"/>
    <xf numFmtId="44" fontId="1" fillId="2" borderId="2" xfId="1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4" fontId="0" fillId="0" borderId="0" xfId="0" applyNumberFormat="1" applyBorder="1" applyAlignment="1">
      <alignment horizontal="center"/>
    </xf>
    <xf numFmtId="0" fontId="5" fillId="0" borderId="0" xfId="0" applyFont="1"/>
    <xf numFmtId="0" fontId="0" fillId="0" borderId="0" xfId="0" applyFill="1" applyBorder="1"/>
    <xf numFmtId="0" fontId="4" fillId="0" borderId="0" xfId="0" applyFont="1" applyBorder="1" applyAlignment="1"/>
    <xf numFmtId="14" fontId="0" fillId="0" borderId="0" xfId="1" applyNumberFormat="1" applyFont="1"/>
    <xf numFmtId="0" fontId="7" fillId="0" borderId="0" xfId="0" applyFont="1"/>
    <xf numFmtId="44" fontId="1" fillId="2" borderId="1" xfId="1" applyNumberFormat="1" applyFont="1" applyFill="1" applyBorder="1" applyAlignment="1">
      <alignment horizontal="center"/>
    </xf>
    <xf numFmtId="7" fontId="0" fillId="0" borderId="0" xfId="1" applyNumberFormat="1" applyFont="1"/>
    <xf numFmtId="0" fontId="0" fillId="4" borderId="6" xfId="0" applyFont="1" applyFill="1" applyBorder="1"/>
    <xf numFmtId="0" fontId="0" fillId="0" borderId="6" xfId="0" applyFont="1" applyBorder="1"/>
    <xf numFmtId="44" fontId="1" fillId="2" borderId="3" xfId="1" applyNumberFormat="1" applyFont="1" applyFill="1" applyBorder="1" applyAlignment="1">
      <alignment horizontal="center"/>
    </xf>
    <xf numFmtId="44" fontId="1" fillId="2" borderId="4" xfId="1" applyNumberFormat="1" applyFont="1" applyFill="1" applyBorder="1" applyAlignment="1">
      <alignment horizontal="center"/>
    </xf>
    <xf numFmtId="44" fontId="0" fillId="0" borderId="0" xfId="1" applyFont="1" applyBorder="1" applyAlignment="1">
      <alignment horizontal="left"/>
    </xf>
    <xf numFmtId="44" fontId="5" fillId="0" borderId="0" xfId="1" applyFont="1"/>
    <xf numFmtId="44" fontId="0" fillId="0" borderId="0" xfId="1" applyFont="1" applyBorder="1" applyAlignment="1"/>
    <xf numFmtId="44" fontId="0" fillId="0" borderId="0" xfId="1" applyFont="1" applyBorder="1" applyAlignment="1">
      <alignment horizontal="center"/>
    </xf>
    <xf numFmtId="44" fontId="6" fillId="3" borderId="0" xfId="1" applyFont="1" applyFill="1" applyBorder="1" applyAlignment="1">
      <alignment horizontal="right"/>
    </xf>
    <xf numFmtId="44" fontId="6" fillId="3" borderId="0" xfId="1" applyFont="1" applyFill="1" applyBorder="1" applyAlignment="1">
      <alignment horizontal="center"/>
    </xf>
    <xf numFmtId="44" fontId="7" fillId="3" borderId="0" xfId="1" applyFont="1" applyFill="1" applyBorder="1"/>
    <xf numFmtId="0" fontId="0" fillId="0" borderId="0" xfId="0" pivotButton="1"/>
    <xf numFmtId="0" fontId="8" fillId="0" borderId="0" xfId="0" applyFont="1"/>
    <xf numFmtId="44" fontId="2" fillId="0" borderId="0" xfId="1" applyFont="1"/>
    <xf numFmtId="44" fontId="2" fillId="0" borderId="0" xfId="1" applyFont="1" applyBorder="1" applyAlignment="1">
      <alignment horizontal="left"/>
    </xf>
    <xf numFmtId="44" fontId="2" fillId="0" borderId="0" xfId="1" applyFont="1" applyBorder="1"/>
    <xf numFmtId="44" fontId="2" fillId="0" borderId="0" xfId="1" applyFont="1" applyBorder="1" applyAlignment="1"/>
    <xf numFmtId="44" fontId="2" fillId="0" borderId="0" xfId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4" borderId="7" xfId="0" applyFont="1" applyFill="1" applyBorder="1"/>
    <xf numFmtId="0" fontId="0" fillId="0" borderId="7" xfId="0" applyFont="1" applyBorder="1"/>
    <xf numFmtId="0" fontId="0" fillId="0" borderId="0" xfId="0" quotePrefix="1"/>
    <xf numFmtId="7" fontId="0" fillId="0" borderId="0" xfId="0" applyNumberFormat="1"/>
    <xf numFmtId="0" fontId="0" fillId="0" borderId="0" xfId="0" applyNumberFormat="1"/>
    <xf numFmtId="0" fontId="0" fillId="0" borderId="0" xfId="0" applyAlignment="1">
      <alignment horizontal="right"/>
    </xf>
    <xf numFmtId="44" fontId="5" fillId="0" borderId="0" xfId="1" applyFont="1" applyBorder="1"/>
    <xf numFmtId="44" fontId="5" fillId="0" borderId="0" xfId="1" applyFont="1" applyBorder="1" applyAlignment="1">
      <alignment horizontal="left"/>
    </xf>
    <xf numFmtId="44" fontId="5" fillId="0" borderId="0" xfId="1" applyFont="1" applyBorder="1" applyAlignment="1"/>
    <xf numFmtId="44" fontId="5" fillId="0" borderId="0" xfId="1" applyFont="1" applyBorder="1" applyAlignment="1">
      <alignment horizontal="center"/>
    </xf>
    <xf numFmtId="14" fontId="1" fillId="2" borderId="2" xfId="1" applyNumberFormat="1" applyFont="1" applyFill="1" applyBorder="1" applyAlignment="1">
      <alignment horizontal="center"/>
    </xf>
    <xf numFmtId="0" fontId="9" fillId="0" borderId="0" xfId="0" applyFont="1" applyBorder="1" applyAlignment="1"/>
    <xf numFmtId="0" fontId="4" fillId="0" borderId="5" xfId="0" applyFont="1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left"/>
    </xf>
    <xf numFmtId="0" fontId="8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</cellXfs>
  <cellStyles count="2">
    <cellStyle name="Moeda" xfId="1" builtinId="4"/>
    <cellStyle name="Normal" xfId="0" builtinId="0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1" indent="0" justifyLastLine="0" shrinkToFit="0" readingOrder="0"/>
    </dxf>
    <dxf>
      <numFmt numFmtId="11" formatCode="&quot;R$&quot;#,##0.00;\-&quot;R$&quot;#,##0.00"/>
    </dxf>
    <dxf>
      <numFmt numFmtId="11" formatCode="&quot;R$&quot;#,##0.00;\-&quot;R$&quot;#,##0.00"/>
    </dxf>
    <dxf>
      <numFmt numFmtId="11" formatCode="&quot;R$&quot;#,##0.00;\-&quot;R$&quot;#,##0.0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1" indent="0" justifyLastLine="0" shrinkToFit="0" readingOrder="0"/>
    </dxf>
    <dxf>
      <numFmt numFmtId="19" formatCode="dd/mm/yyyy"/>
    </dxf>
    <dxf>
      <numFmt numFmtId="19" formatCode="dd/mm/yyyy"/>
    </dxf>
    <dxf>
      <numFmt numFmtId="19" formatCode="dd/mm/yyyy"/>
      <alignment horizontal="righ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19" formatCode="dd/mm/yyyy"/>
    </dxf>
    <dxf>
      <numFmt numFmtId="19" formatCode="dd/mm/yyyy"/>
      <alignment horizontal="right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" formatCode="0.00"/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numFmt numFmtId="19" formatCode="dd/mm/yyyy"/>
    </dxf>
    <dxf>
      <border outline="0">
        <top style="thin">
          <color theme="9" tint="0.39997558519241921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2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1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32" Type="http://schemas.microsoft.com/office/2007/relationships/slicerCache" Target="slicerCaches/slicerCache8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microsoft.com/office/2007/relationships/slicerCache" Target="slicerCaches/slicerCache4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microsoft.com/office/2007/relationships/slicerCache" Target="slicerCaches/slicerCache3.xml"/><Relationship Id="rId30" Type="http://schemas.microsoft.com/office/2007/relationships/slicerCache" Target="slicerCaches/slicerCache6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POR</a:t>
            </a:r>
            <a:r>
              <a:rPr lang="pt-BR" baseline="0"/>
              <a:t> TIPO DE SERVIÇO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8D1-45C8-A288-64AF2295B89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8D1-45C8-A288-64AF2295B89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D1-45C8-A288-64AF2295B89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D1-45C8-A288-64AF2295B89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TbDinamicaApagar!$U$3:$U$4</c:f>
              <c:strCache>
                <c:ptCount val="2"/>
                <c:pt idx="0">
                  <c:v>Penhor</c:v>
                </c:pt>
                <c:pt idx="1">
                  <c:v>Pericia</c:v>
                </c:pt>
              </c:strCache>
            </c:strRef>
          </c:cat>
          <c:val>
            <c:numRef>
              <c:f>TbDinamicaApagar!$V$3:$V$4</c:f>
              <c:numCache>
                <c:formatCode>_("R$"* #,##0.00_);_("R$"* \(#,##0.00\);_("R$"* "-"??_);_(@_)</c:formatCode>
                <c:ptCount val="2"/>
                <c:pt idx="0">
                  <c:v>924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D1-45C8-A288-64AF2295B8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POR SEGURADORA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A70-4730-8E82-877D2A31DEE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A70-4730-8E82-877D2A31DEE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A70-4730-8E82-877D2A31DEE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A70-4730-8E82-877D2A31DEE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A70-4730-8E82-877D2A31DEE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A70-4730-8E82-877D2A31DEE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A70-4730-8E82-877D2A31DEE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A70-4730-8E82-877D2A31DEE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A70-4730-8E82-877D2A31DEE3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A70-4730-8E82-877D2A31DEE3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A70-4730-8E82-877D2A31DEE3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A70-4730-8E82-877D2A31DEE3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A70-4730-8E82-877D2A31DEE3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0A70-4730-8E82-877D2A31DEE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TbDinamicaApagar!$R$3:$R$9</c:f>
              <c:strCache>
                <c:ptCount val="2"/>
                <c:pt idx="0">
                  <c:v>BrasilSeg</c:v>
                </c:pt>
                <c:pt idx="1">
                  <c:v>NEWE SEGUROS S.A</c:v>
                </c:pt>
              </c:strCache>
            </c:strRef>
          </c:cat>
          <c:val>
            <c:numRef>
              <c:f>TbDinamicaApagar!$S$3:$S$9</c:f>
              <c:numCache>
                <c:formatCode>_("R$"* #,##0.00_);_("R$"* \(#,##0.00\);_("R$"* "-"??_);_(@_)</c:formatCode>
                <c:ptCount val="7"/>
                <c:pt idx="0">
                  <c:v>924</c:v>
                </c:pt>
                <c:pt idx="1">
                  <c:v>430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A70-4730-8E82-877D2A31DEE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Honorários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TbDinamicaApagar!$W$3:$W$6</c:f>
              <c:strCache>
                <c:ptCount val="2"/>
                <c:pt idx="0">
                  <c:v>Vinicius Tessele</c:v>
                </c:pt>
                <c:pt idx="1">
                  <c:v>Emerson</c:v>
                </c:pt>
              </c:strCache>
            </c:strRef>
          </c:cat>
          <c:val>
            <c:numRef>
              <c:f>TbDinamicaApagar!$X$3:$X$6</c:f>
              <c:numCache>
                <c:formatCode>_("R$"* #,##0.00_);_("R$"* \(#,##0.00\);_("R$"* "-"??_);_(@_)</c:formatCode>
                <c:ptCount val="4"/>
                <c:pt idx="0">
                  <c:v>450</c:v>
                </c:pt>
                <c:pt idx="1">
                  <c:v>150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B-4592-B168-CF82563CD04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3586048"/>
        <c:axId val="400754808"/>
      </c:barChart>
      <c:catAx>
        <c:axId val="3935860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0754808"/>
        <c:crosses val="autoZero"/>
        <c:auto val="1"/>
        <c:lblAlgn val="ctr"/>
        <c:lblOffset val="100"/>
        <c:noMultiLvlLbl val="0"/>
      </c:catAx>
      <c:valAx>
        <c:axId val="40075480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39358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Outras Despesas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TbDinamicaApagar!$Z$3</c:f>
              <c:strCache>
                <c:ptCount val="1"/>
                <c:pt idx="0">
                  <c:v>Vinicius Tessele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TbDinamicaApagar!$AA$3:$AG$3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6-455C-98F7-80BCDCE49F8C}"/>
            </c:ext>
          </c:extLst>
        </c:ser>
        <c:ser>
          <c:idx val="1"/>
          <c:order val="1"/>
          <c:tx>
            <c:strRef>
              <c:f>TbDinamicaApagar!$Z$4</c:f>
              <c:strCache>
                <c:ptCount val="1"/>
                <c:pt idx="0">
                  <c:v>Emerson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TbDinamicaApagar!$AA$4:$AG$4</c:f>
              <c:numCache>
                <c:formatCode>_("R$"* #,##0.00_);_("R$"* \(#,##0.00\);_("R$"* "-"??_);_(@_)</c:formatCode>
                <c:ptCount val="7"/>
                <c:pt idx="0">
                  <c:v>50</c:v>
                </c:pt>
                <c:pt idx="1">
                  <c:v>50</c:v>
                </c:pt>
                <c:pt idx="2">
                  <c:v>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6-455C-98F7-80BCDCE49F8C}"/>
            </c:ext>
          </c:extLst>
        </c:ser>
        <c:ser>
          <c:idx val="2"/>
          <c:order val="2"/>
          <c:tx>
            <c:strRef>
              <c:f>TbDinamicaApagar!$Z$5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TbDinamicaApagar!$AA$5:$AG$5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6-455C-98F7-80BCDCE49F8C}"/>
            </c:ext>
          </c:extLst>
        </c:ser>
        <c:ser>
          <c:idx val="3"/>
          <c:order val="3"/>
          <c:tx>
            <c:strRef>
              <c:f>TbDinamicaApagar!$Z$6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TbDinamicaApagar!$AA$6:$AG$6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6-455C-98F7-80BCDCE49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8369920"/>
        <c:axId val="728369264"/>
      </c:barChart>
      <c:catAx>
        <c:axId val="728369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8369264"/>
        <c:crosses val="autoZero"/>
        <c:auto val="1"/>
        <c:lblAlgn val="ctr"/>
        <c:lblOffset val="100"/>
        <c:noMultiLvlLbl val="0"/>
      </c:catAx>
      <c:valAx>
        <c:axId val="728369264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836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POR seguradora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DD1-44E6-8DE4-465B00D6D7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DD1-44E6-8DE4-465B00D6D7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DD1-44E6-8DE4-465B00D6D7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DD1-44E6-8DE4-465B00D6D7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DD1-44E6-8DE4-465B00D6D7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DD1-44E6-8DE4-465B00D6D7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DD1-44E6-8DE4-465B00D6D7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DD1-44E6-8DE4-465B00D6D76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CDD1-44E6-8DE4-465B00D6D76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CDD1-44E6-8DE4-465B00D6D76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CDD1-44E6-8DE4-465B00D6D76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CDD1-44E6-8DE4-465B00D6D76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CDD1-44E6-8DE4-465B00D6D76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CDD1-44E6-8DE4-465B00D6D765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CDD1-44E6-8DE4-465B00D6D765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CDD1-44E6-8DE4-465B00D6D76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TbDinamicaReceber!$R$2:$R$9</c:f>
              <c:strCache>
                <c:ptCount val="8"/>
                <c:pt idx="0">
                  <c:v>Valores Seguradora</c:v>
                </c:pt>
                <c:pt idx="1">
                  <c:v>Bradesco</c:v>
                </c:pt>
                <c:pt idx="2">
                  <c:v>Banco do Brasil</c:v>
                </c:pt>
                <c:pt idx="3">
                  <c:v>Porto seguro</c:v>
                </c:pt>
                <c:pt idx="4">
                  <c:v>Liberty</c:v>
                </c:pt>
                <c:pt idx="5">
                  <c:v>Itau</c:v>
                </c:pt>
                <c:pt idx="6">
                  <c:v>Sicoob Seguradora</c:v>
                </c:pt>
                <c:pt idx="7">
                  <c:v>Sicred seguros</c:v>
                </c:pt>
              </c:strCache>
            </c:strRef>
          </c:cat>
          <c:val>
            <c:numRef>
              <c:f>TbDinamicaReceber!$S$2:$S$9</c:f>
              <c:numCache>
                <c:formatCode>_("R$"* #,##0.00_);_("R$"* \(#,##0.00\);_("R$"*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DD1-44E6-8DE4-465B00D6D7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POR TIPO</a:t>
            </a:r>
            <a:r>
              <a:rPr lang="pt-BR" baseline="0"/>
              <a:t> DE SERVIÇO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C4B-455C-9E3A-CFBCAD50F58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C4B-455C-9E3A-CFBCAD50F58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9C4B-455C-9E3A-CFBCAD50F58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9C4B-455C-9E3A-CFBCAD50F5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TbDinamicaReceber!$U$3:$U$4</c:f>
              <c:strCache>
                <c:ptCount val="2"/>
                <c:pt idx="0">
                  <c:v>Penhor</c:v>
                </c:pt>
                <c:pt idx="1">
                  <c:v>Pericia</c:v>
                </c:pt>
              </c:strCache>
            </c:strRef>
          </c:cat>
          <c:val>
            <c:numRef>
              <c:f>TbDinamicaReceber!$V$3:$V$4</c:f>
              <c:numCache>
                <c:formatCode>_("R$"* #,##0.00_);_("R$"* \(#,##0.00\);_("R$"* "-"??_);_(@_)</c:formatCode>
                <c:ptCount val="2"/>
                <c:pt idx="0">
                  <c:v>1229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4B-455C-9E3A-CFBCAD50F58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Outras Despesas</a:t>
            </a:r>
            <a:endParaRPr lang="pt-BR">
              <a:effectLst/>
            </a:endParaRP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TbDinamicaReceber!$Z$3</c:f>
              <c:strCache>
                <c:ptCount val="1"/>
                <c:pt idx="0">
                  <c:v>Marcilio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TbDinamicaReceber!$AA$2:$AG$2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TbDinamicaReceber!$AA$3:$AG$3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8C-4B38-8C59-B71FFDCC3D00}"/>
            </c:ext>
          </c:extLst>
        </c:ser>
        <c:ser>
          <c:idx val="1"/>
          <c:order val="1"/>
          <c:tx>
            <c:strRef>
              <c:f>TbDinamicaReceber!$Z$4</c:f>
              <c:strCache>
                <c:ptCount val="1"/>
                <c:pt idx="0">
                  <c:v>Vinicius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TbDinamicaReceber!$AA$2:$AG$2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TbDinamicaReceber!$AA$4:$AG$4</c:f>
              <c:numCache>
                <c:formatCode>_("R$"* #,##0.00_);_("R$"* \(#,##0.00\);_("R$"* "-"??_);_(@_)</c:formatCode>
                <c:ptCount val="7"/>
                <c:pt idx="0">
                  <c:v>223</c:v>
                </c:pt>
                <c:pt idx="1">
                  <c:v>223</c:v>
                </c:pt>
                <c:pt idx="2">
                  <c:v>11</c:v>
                </c:pt>
                <c:pt idx="3">
                  <c:v>11</c:v>
                </c:pt>
                <c:pt idx="4">
                  <c:v>223</c:v>
                </c:pt>
                <c:pt idx="5">
                  <c:v>0</c:v>
                </c:pt>
                <c:pt idx="6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8C-4B38-8C59-B71FFDCC3D00}"/>
            </c:ext>
          </c:extLst>
        </c:ser>
        <c:ser>
          <c:idx val="2"/>
          <c:order val="2"/>
          <c:tx>
            <c:strRef>
              <c:f>TbDinamicaReceber!$Z$5</c:f>
              <c:strCache>
                <c:ptCount val="1"/>
                <c:pt idx="0">
                  <c:v>Cleiton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TbDinamicaReceber!$AA$2:$AG$2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TbDinamicaReceber!$AA$5:$AG$5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8C-4B38-8C59-B71FFDCC3D00}"/>
            </c:ext>
          </c:extLst>
        </c:ser>
        <c:ser>
          <c:idx val="3"/>
          <c:order val="3"/>
          <c:tx>
            <c:strRef>
              <c:f>TbDinamicaReceber!$Z$6</c:f>
              <c:strCache>
                <c:ptCount val="1"/>
                <c:pt idx="0">
                  <c:v>Marcos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TbDinamicaReceber!$AA$2:$AG$2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TbDinamicaReceber!$AA$6:$AG$6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8C-4B38-8C59-B71FFDCC3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176608"/>
        <c:axId val="327176936"/>
      </c:barChart>
      <c:catAx>
        <c:axId val="327176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176936"/>
        <c:crosses val="autoZero"/>
        <c:auto val="1"/>
        <c:lblAlgn val="ctr"/>
        <c:lblOffset val="100"/>
        <c:noMultiLvlLbl val="0"/>
      </c:catAx>
      <c:valAx>
        <c:axId val="327176936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17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Honorários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TbDinamicaReceber!$W$2:$W$6</c15:sqref>
                  </c15:fullRef>
                </c:ext>
              </c:extLst>
              <c:f>TbDinamicaReceber!$W$3:$W$6</c:f>
              <c:strCache>
                <c:ptCount val="4"/>
                <c:pt idx="0">
                  <c:v>Marcilio</c:v>
                </c:pt>
                <c:pt idx="1">
                  <c:v>Vinicius</c:v>
                </c:pt>
                <c:pt idx="2">
                  <c:v>Cleiton</c:v>
                </c:pt>
                <c:pt idx="3">
                  <c:v>Marcos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TbDinamicaReceber!$X$2:$X$6</c15:sqref>
                  </c15:fullRef>
                </c:ext>
              </c:extLst>
              <c:f>TbDinamicaReceber!$X$3:$X$6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602.1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4-4A7E-8D91-E7F4C3AE51D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55668096"/>
        <c:axId val="755664488"/>
      </c:barChart>
      <c:catAx>
        <c:axId val="7556680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55664488"/>
        <c:crosses val="autoZero"/>
        <c:auto val="1"/>
        <c:lblAlgn val="ctr"/>
        <c:lblOffset val="100"/>
        <c:noMultiLvlLbl val="0"/>
      </c:catAx>
      <c:valAx>
        <c:axId val="755664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566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212070</xdr:colOff>
      <xdr:row>0</xdr:row>
      <xdr:rowOff>21724</xdr:rowOff>
    </xdr:from>
    <xdr:ext cx="9920023" cy="673601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480AE2F-B2CC-4B32-A153-612EBF5CA167}"/>
            </a:ext>
          </a:extLst>
        </xdr:cNvPr>
        <xdr:cNvSpPr/>
      </xdr:nvSpPr>
      <xdr:spPr>
        <a:xfrm>
          <a:off x="1431270" y="21724"/>
          <a:ext cx="9920023" cy="6736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Segoe UI Black" panose="020B0A02040204020203" pitchFamily="34" charset="0"/>
            </a:rPr>
            <a:t>Gestão de seguradora 1.0</a:t>
          </a:r>
        </a:p>
      </xdr:txBody>
    </xdr:sp>
    <xdr:clientData/>
  </xdr:oneCellAnchor>
  <xdr:twoCellAnchor>
    <xdr:from>
      <xdr:col>0</xdr:col>
      <xdr:colOff>133350</xdr:colOff>
      <xdr:row>0</xdr:row>
      <xdr:rowOff>38100</xdr:rowOff>
    </xdr:from>
    <xdr:to>
      <xdr:col>20</xdr:col>
      <xdr:colOff>476250</xdr:colOff>
      <xdr:row>23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B4ED5772-639A-4F54-B508-D6D85883066B}"/>
            </a:ext>
          </a:extLst>
        </xdr:cNvPr>
        <xdr:cNvGrpSpPr/>
      </xdr:nvGrpSpPr>
      <xdr:grpSpPr>
        <a:xfrm>
          <a:off x="133350" y="38100"/>
          <a:ext cx="12534900" cy="4343400"/>
          <a:chOff x="133350" y="38100"/>
          <a:chExt cx="12534900" cy="4343400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3F00405F-2860-4D61-B784-1B6B57B0D83E}"/>
              </a:ext>
            </a:extLst>
          </xdr:cNvPr>
          <xdr:cNvSpPr/>
        </xdr:nvSpPr>
        <xdr:spPr>
          <a:xfrm>
            <a:off x="152401" y="723900"/>
            <a:ext cx="12515849" cy="3657600"/>
          </a:xfrm>
          <a:prstGeom prst="roundRect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40465823-87AB-4C24-B968-74F720E07412}"/>
              </a:ext>
            </a:extLst>
          </xdr:cNvPr>
          <xdr:cNvSpPr/>
        </xdr:nvSpPr>
        <xdr:spPr>
          <a:xfrm>
            <a:off x="133350" y="38100"/>
            <a:ext cx="12487275" cy="657225"/>
          </a:xfrm>
          <a:prstGeom prst="rect">
            <a:avLst/>
          </a:prstGeom>
          <a:solidFill>
            <a:srgbClr val="33996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CD2A8DF9-B7FD-4CDE-829F-8E739C5D391E}"/>
              </a:ext>
            </a:extLst>
          </xdr:cNvPr>
          <xdr:cNvGrpSpPr/>
        </xdr:nvGrpSpPr>
        <xdr:grpSpPr>
          <a:xfrm>
            <a:off x="590550" y="876300"/>
            <a:ext cx="2657475" cy="3448051"/>
            <a:chOff x="971550" y="847725"/>
            <a:chExt cx="2657475" cy="3448051"/>
          </a:xfrm>
        </xdr:grpSpPr>
        <xdr:sp macro="" textlink="">
          <xdr:nvSpPr>
            <xdr:cNvPr id="7" name="Retângulo: Cantos Arredondados 6">
              <a:extLst>
                <a:ext uri="{FF2B5EF4-FFF2-40B4-BE49-F238E27FC236}">
                  <a16:creationId xmlns:a16="http://schemas.microsoft.com/office/drawing/2014/main" id="{A69B5BFD-789B-46EB-9B1E-C0300D6B4B47}"/>
                </a:ext>
              </a:extLst>
            </xdr:cNvPr>
            <xdr:cNvSpPr/>
          </xdr:nvSpPr>
          <xdr:spPr>
            <a:xfrm>
              <a:off x="971550" y="847725"/>
              <a:ext cx="2657475" cy="3448051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600" b="1"/>
                <a:t>Cadastros</a:t>
              </a:r>
            </a:p>
            <a:p>
              <a:pPr algn="ctr"/>
              <a:endParaRPr lang="pt-BR" sz="1600" b="1"/>
            </a:p>
          </xdr:txBody>
        </xdr:sp>
        <xdr:grpSp>
          <xdr:nvGrpSpPr>
            <xdr:cNvPr id="26" name="Agrupar 25">
              <a:extLst>
                <a:ext uri="{FF2B5EF4-FFF2-40B4-BE49-F238E27FC236}">
                  <a16:creationId xmlns:a16="http://schemas.microsoft.com/office/drawing/2014/main" id="{455CF792-FB14-4BCE-B22D-0E562E845DEC}"/>
                </a:ext>
              </a:extLst>
            </xdr:cNvPr>
            <xdr:cNvGrpSpPr/>
          </xdr:nvGrpSpPr>
          <xdr:grpSpPr>
            <a:xfrm>
              <a:off x="981074" y="1390650"/>
              <a:ext cx="2574000" cy="647700"/>
              <a:chOff x="314325" y="1171575"/>
              <a:chExt cx="2571751" cy="647700"/>
            </a:xfrm>
          </xdr:grpSpPr>
          <xdr:sp macro="[0]!ChamarCadPericia" textlink="">
            <xdr:nvSpPr>
              <xdr:cNvPr id="27" name="Retângulo: Cantos Arredondados 26">
                <a:extLst>
                  <a:ext uri="{FF2B5EF4-FFF2-40B4-BE49-F238E27FC236}">
                    <a16:creationId xmlns:a16="http://schemas.microsoft.com/office/drawing/2014/main" id="{4F2D0FDD-35CE-4922-9C64-137429E8B9B1}"/>
                  </a:ext>
                </a:extLst>
              </xdr:cNvPr>
              <xdr:cNvSpPr/>
            </xdr:nvSpPr>
            <xdr:spPr>
              <a:xfrm>
                <a:off x="352426" y="1171575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200" b="1"/>
                  <a:t>           Cadastro</a:t>
                </a:r>
                <a:r>
                  <a:rPr lang="pt-BR" sz="1200" b="1" baseline="0"/>
                  <a:t> de Pericias Agrícolas</a:t>
                </a:r>
                <a:endParaRPr lang="pt-BR" sz="1200" b="1"/>
              </a:p>
            </xdr:txBody>
          </xdr:sp>
          <xdr:pic>
            <xdr:nvPicPr>
              <xdr:cNvPr id="28" name="Imagem 27">
                <a:extLst>
                  <a:ext uri="{FF2B5EF4-FFF2-40B4-BE49-F238E27FC236}">
                    <a16:creationId xmlns:a16="http://schemas.microsoft.com/office/drawing/2014/main" id="{F5A805E8-0646-4677-A86F-3590C95475C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14325" y="1200150"/>
                <a:ext cx="609600" cy="609600"/>
              </a:xfrm>
              <a:prstGeom prst="rect">
                <a:avLst/>
              </a:prstGeom>
            </xdr:spPr>
          </xdr:pic>
        </xdr:grpSp>
        <xdr:grpSp>
          <xdr:nvGrpSpPr>
            <xdr:cNvPr id="29" name="Agrupar 28">
              <a:extLst>
                <a:ext uri="{FF2B5EF4-FFF2-40B4-BE49-F238E27FC236}">
                  <a16:creationId xmlns:a16="http://schemas.microsoft.com/office/drawing/2014/main" id="{ADBE0DA9-3110-4A58-92E8-6216EABD1714}"/>
                </a:ext>
              </a:extLst>
            </xdr:cNvPr>
            <xdr:cNvGrpSpPr/>
          </xdr:nvGrpSpPr>
          <xdr:grpSpPr>
            <a:xfrm>
              <a:off x="971550" y="2781300"/>
              <a:ext cx="2612099" cy="647700"/>
              <a:chOff x="285750" y="2562225"/>
              <a:chExt cx="2612099" cy="647700"/>
            </a:xfrm>
          </xdr:grpSpPr>
          <xdr:sp macro="[0]!ChamarCadSeguradora" textlink="">
            <xdr:nvSpPr>
              <xdr:cNvPr id="30" name="Retângulo: Cantos Arredondados 29">
                <a:extLst>
                  <a:ext uri="{FF2B5EF4-FFF2-40B4-BE49-F238E27FC236}">
                    <a16:creationId xmlns:a16="http://schemas.microsoft.com/office/drawing/2014/main" id="{441E12AC-E5B5-449D-AC54-B32148DF1F12}"/>
                  </a:ext>
                </a:extLst>
              </xdr:cNvPr>
              <xdr:cNvSpPr/>
            </xdr:nvSpPr>
            <xdr:spPr>
              <a:xfrm>
                <a:off x="323849" y="2562225"/>
                <a:ext cx="257400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2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Cadastro de seguradora</a:t>
                </a:r>
              </a:p>
            </xdr:txBody>
          </xdr:sp>
          <xdr:pic>
            <xdr:nvPicPr>
              <xdr:cNvPr id="31" name="Imagem 30">
                <a:extLst>
                  <a:ext uri="{FF2B5EF4-FFF2-40B4-BE49-F238E27FC236}">
                    <a16:creationId xmlns:a16="http://schemas.microsoft.com/office/drawing/2014/main" id="{7C3DBEE1-E39D-4A7E-9161-020FC5A8C6D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85750" y="2600325"/>
                <a:ext cx="609600" cy="609600"/>
              </a:xfrm>
              <a:prstGeom prst="rect">
                <a:avLst/>
              </a:prstGeom>
            </xdr:spPr>
          </xdr:pic>
        </xdr:grpSp>
        <xdr:grpSp>
          <xdr:nvGrpSpPr>
            <xdr:cNvPr id="32" name="Agrupar 31">
              <a:extLst>
                <a:ext uri="{FF2B5EF4-FFF2-40B4-BE49-F238E27FC236}">
                  <a16:creationId xmlns:a16="http://schemas.microsoft.com/office/drawing/2014/main" id="{A4953D31-624A-4BD3-8EB8-12D36062ED64}"/>
                </a:ext>
              </a:extLst>
            </xdr:cNvPr>
            <xdr:cNvGrpSpPr/>
          </xdr:nvGrpSpPr>
          <xdr:grpSpPr>
            <a:xfrm>
              <a:off x="971551" y="2085975"/>
              <a:ext cx="2612100" cy="666750"/>
              <a:chOff x="295276" y="1866900"/>
              <a:chExt cx="2612100" cy="666750"/>
            </a:xfrm>
          </xdr:grpSpPr>
          <xdr:sp macro="[0]!ChamarCadPenhor" textlink="">
            <xdr:nvSpPr>
              <xdr:cNvPr id="33" name="Retângulo: Cantos Arredondados 32">
                <a:extLst>
                  <a:ext uri="{FF2B5EF4-FFF2-40B4-BE49-F238E27FC236}">
                    <a16:creationId xmlns:a16="http://schemas.microsoft.com/office/drawing/2014/main" id="{BCBC5217-8031-4DA6-AC26-76D5311E1B72}"/>
                  </a:ext>
                </a:extLst>
              </xdr:cNvPr>
              <xdr:cNvSpPr/>
            </xdr:nvSpPr>
            <xdr:spPr>
              <a:xfrm>
                <a:off x="333376" y="1866900"/>
                <a:ext cx="257400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200" b="1"/>
                  <a:t>    Cadastro</a:t>
                </a:r>
                <a:r>
                  <a:rPr lang="pt-BR" sz="1200" b="1" baseline="0"/>
                  <a:t> de Penhor Rural</a:t>
                </a:r>
                <a:endParaRPr lang="pt-BR" sz="1200" b="1"/>
              </a:p>
            </xdr:txBody>
          </xdr:sp>
          <xdr:pic>
            <xdr:nvPicPr>
              <xdr:cNvPr id="34" name="Imagem 33">
                <a:extLst>
                  <a:ext uri="{FF2B5EF4-FFF2-40B4-BE49-F238E27FC236}">
                    <a16:creationId xmlns:a16="http://schemas.microsoft.com/office/drawing/2014/main" id="{BB61155D-9E13-4D62-BCE6-9878B20D35F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95276" y="1924050"/>
                <a:ext cx="609600" cy="609600"/>
              </a:xfrm>
              <a:prstGeom prst="rect">
                <a:avLst/>
              </a:prstGeom>
            </xdr:spPr>
          </xdr:pic>
        </xdr:grpSp>
        <xdr:grpSp>
          <xdr:nvGrpSpPr>
            <xdr:cNvPr id="35" name="Agrupar 34">
              <a:extLst>
                <a:ext uri="{FF2B5EF4-FFF2-40B4-BE49-F238E27FC236}">
                  <a16:creationId xmlns:a16="http://schemas.microsoft.com/office/drawing/2014/main" id="{4948D8E6-7798-4936-9AB8-0D35D5A68B06}"/>
                </a:ext>
              </a:extLst>
            </xdr:cNvPr>
            <xdr:cNvGrpSpPr/>
          </xdr:nvGrpSpPr>
          <xdr:grpSpPr>
            <a:xfrm>
              <a:off x="1009649" y="3476625"/>
              <a:ext cx="2574000" cy="647700"/>
              <a:chOff x="295275" y="3257550"/>
              <a:chExt cx="2552701" cy="647700"/>
            </a:xfrm>
          </xdr:grpSpPr>
          <xdr:sp macro="[0]!ChamarCadPerito" textlink="">
            <xdr:nvSpPr>
              <xdr:cNvPr id="36" name="Retângulo: Cantos Arredondados 35">
                <a:extLst>
                  <a:ext uri="{FF2B5EF4-FFF2-40B4-BE49-F238E27FC236}">
                    <a16:creationId xmlns:a16="http://schemas.microsoft.com/office/drawing/2014/main" id="{3A8EC8ED-00ED-44E9-9A79-A200629BF9E4}"/>
                  </a:ext>
                </a:extLst>
              </xdr:cNvPr>
              <xdr:cNvSpPr/>
            </xdr:nvSpPr>
            <xdr:spPr>
              <a:xfrm>
                <a:off x="314326" y="3257550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l"/>
                <a:r>
                  <a:rPr lang="pt-BR" sz="12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        Cadastro de Peritos</a:t>
                </a:r>
              </a:p>
            </xdr:txBody>
          </xdr:sp>
          <xdr:pic>
            <xdr:nvPicPr>
              <xdr:cNvPr id="37" name="Imagem 36">
                <a:extLst>
                  <a:ext uri="{FF2B5EF4-FFF2-40B4-BE49-F238E27FC236}">
                    <a16:creationId xmlns:a16="http://schemas.microsoft.com/office/drawing/2014/main" id="{F37B41FE-69F7-4CCB-85BA-D7E1742EF87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95275" y="3267075"/>
                <a:ext cx="609600" cy="609600"/>
              </a:xfrm>
              <a:prstGeom prst="rect">
                <a:avLst/>
              </a:prstGeom>
            </xdr:spPr>
          </xdr:pic>
        </xdr:grpSp>
      </xdr:grpSp>
      <xdr:grpSp>
        <xdr:nvGrpSpPr>
          <xdr:cNvPr id="24" name="Agrupar 23">
            <a:extLst>
              <a:ext uri="{FF2B5EF4-FFF2-40B4-BE49-F238E27FC236}">
                <a16:creationId xmlns:a16="http://schemas.microsoft.com/office/drawing/2014/main" id="{FDB97FA5-742E-4389-B941-70D7A8A4BD28}"/>
              </a:ext>
            </a:extLst>
          </xdr:cNvPr>
          <xdr:cNvGrpSpPr/>
        </xdr:nvGrpSpPr>
        <xdr:grpSpPr>
          <a:xfrm>
            <a:off x="6210300" y="885825"/>
            <a:ext cx="2657475" cy="3448051"/>
            <a:chOff x="6400800" y="866775"/>
            <a:chExt cx="2657475" cy="3448051"/>
          </a:xfrm>
        </xdr:grpSpPr>
        <xdr:sp macro="" textlink="">
          <xdr:nvSpPr>
            <xdr:cNvPr id="43" name="Retângulo: Cantos Arredondados 42">
              <a:extLst>
                <a:ext uri="{FF2B5EF4-FFF2-40B4-BE49-F238E27FC236}">
                  <a16:creationId xmlns:a16="http://schemas.microsoft.com/office/drawing/2014/main" id="{745A439A-B079-4BEE-896F-68EFF529C7D6}"/>
                </a:ext>
              </a:extLst>
            </xdr:cNvPr>
            <xdr:cNvSpPr/>
          </xdr:nvSpPr>
          <xdr:spPr>
            <a:xfrm>
              <a:off x="6400800" y="866775"/>
              <a:ext cx="2657475" cy="3448051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600" b="1"/>
                <a:t>Relatórios</a:t>
              </a:r>
            </a:p>
            <a:p>
              <a:pPr algn="ctr"/>
              <a:endParaRPr lang="pt-BR" sz="1600" b="1"/>
            </a:p>
          </xdr:txBody>
        </xdr:sp>
        <xdr:grpSp>
          <xdr:nvGrpSpPr>
            <xdr:cNvPr id="4" name="Agrupar 3">
              <a:extLst>
                <a:ext uri="{FF2B5EF4-FFF2-40B4-BE49-F238E27FC236}">
                  <a16:creationId xmlns:a16="http://schemas.microsoft.com/office/drawing/2014/main" id="{DE517487-781E-4225-A04B-F9CBFC7983B2}"/>
                </a:ext>
              </a:extLst>
            </xdr:cNvPr>
            <xdr:cNvGrpSpPr/>
          </xdr:nvGrpSpPr>
          <xdr:grpSpPr>
            <a:xfrm>
              <a:off x="6429375" y="1400175"/>
              <a:ext cx="2543175" cy="647700"/>
              <a:chOff x="6429375" y="1400175"/>
              <a:chExt cx="2543175" cy="647700"/>
            </a:xfrm>
          </xdr:grpSpPr>
          <xdr:sp macro="[0]!ChamaRelContasApagar" textlink="">
            <xdr:nvSpPr>
              <xdr:cNvPr id="77" name="Retângulo: Cantos Arredondados 76">
                <a:extLst>
                  <a:ext uri="{FF2B5EF4-FFF2-40B4-BE49-F238E27FC236}">
                    <a16:creationId xmlns:a16="http://schemas.microsoft.com/office/drawing/2014/main" id="{32948D41-5C56-4455-A45E-627DEB007598}"/>
                  </a:ext>
                </a:extLst>
              </xdr:cNvPr>
              <xdr:cNvSpPr/>
            </xdr:nvSpPr>
            <xdr:spPr>
              <a:xfrm>
                <a:off x="6438900" y="1400175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          Relatório</a:t>
                </a:r>
                <a:r>
                  <a:rPr lang="pt-BR" sz="1050" b="1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de </a:t>
                </a:r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Pagamentos</a:t>
                </a:r>
              </a:p>
            </xdr:txBody>
          </xdr:sp>
          <xdr:pic>
            <xdr:nvPicPr>
              <xdr:cNvPr id="81" name="Imagem 80">
                <a:extLst>
                  <a:ext uri="{FF2B5EF4-FFF2-40B4-BE49-F238E27FC236}">
                    <a16:creationId xmlns:a16="http://schemas.microsoft.com/office/drawing/2014/main" id="{8D77609E-1345-4E71-8C6B-EC11440B404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429375" y="1447799"/>
                <a:ext cx="581025" cy="581025"/>
              </a:xfrm>
              <a:prstGeom prst="rect">
                <a:avLst/>
              </a:prstGeom>
            </xdr:spPr>
          </xdr:pic>
        </xdr:grpSp>
        <xdr:grpSp>
          <xdr:nvGrpSpPr>
            <xdr:cNvPr id="13" name="Agrupar 12">
              <a:extLst>
                <a:ext uri="{FF2B5EF4-FFF2-40B4-BE49-F238E27FC236}">
                  <a16:creationId xmlns:a16="http://schemas.microsoft.com/office/drawing/2014/main" id="{9AA917B7-D837-4FDD-8717-53C012E1F8A7}"/>
                </a:ext>
              </a:extLst>
            </xdr:cNvPr>
            <xdr:cNvGrpSpPr/>
          </xdr:nvGrpSpPr>
          <xdr:grpSpPr>
            <a:xfrm>
              <a:off x="6448425" y="2095500"/>
              <a:ext cx="2533650" cy="647700"/>
              <a:chOff x="6467475" y="3495675"/>
              <a:chExt cx="2533650" cy="647700"/>
            </a:xfrm>
          </xdr:grpSpPr>
          <xdr:sp macro="[0]!ChamarContarReceber" textlink="">
            <xdr:nvSpPr>
              <xdr:cNvPr id="79" name="Retângulo: Cantos Arredondados 78">
                <a:extLst>
                  <a:ext uri="{FF2B5EF4-FFF2-40B4-BE49-F238E27FC236}">
                    <a16:creationId xmlns:a16="http://schemas.microsoft.com/office/drawing/2014/main" id="{F90C1E6F-558C-41C1-BC0F-180EEF6C27F8}"/>
                  </a:ext>
                </a:extLst>
              </xdr:cNvPr>
              <xdr:cNvSpPr/>
            </xdr:nvSpPr>
            <xdr:spPr>
              <a:xfrm>
                <a:off x="6467475" y="3495675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          Relatório</a:t>
                </a:r>
                <a:r>
                  <a:rPr lang="pt-BR" sz="1050" b="1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de </a:t>
                </a:r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Recebimento</a:t>
                </a:r>
              </a:p>
            </xdr:txBody>
          </xdr:sp>
          <xdr:pic>
            <xdr:nvPicPr>
              <xdr:cNvPr id="83" name="Imagem 82">
                <a:extLst>
                  <a:ext uri="{FF2B5EF4-FFF2-40B4-BE49-F238E27FC236}">
                    <a16:creationId xmlns:a16="http://schemas.microsoft.com/office/drawing/2014/main" id="{BE5C761B-4CDD-45D7-916F-39EC01D28C1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572250" y="3495675"/>
                <a:ext cx="628650" cy="628650"/>
              </a:xfrm>
              <a:prstGeom prst="rect">
                <a:avLst/>
              </a:prstGeom>
            </xdr:spPr>
          </xdr:pic>
        </xdr:grpSp>
      </xdr:grpSp>
      <xdr:grpSp>
        <xdr:nvGrpSpPr>
          <xdr:cNvPr id="25" name="Agrupar 24">
            <a:extLst>
              <a:ext uri="{FF2B5EF4-FFF2-40B4-BE49-F238E27FC236}">
                <a16:creationId xmlns:a16="http://schemas.microsoft.com/office/drawing/2014/main" id="{2550CE86-8976-4F71-B373-B45F2B186133}"/>
              </a:ext>
            </a:extLst>
          </xdr:cNvPr>
          <xdr:cNvGrpSpPr/>
        </xdr:nvGrpSpPr>
        <xdr:grpSpPr>
          <a:xfrm>
            <a:off x="8991600" y="847725"/>
            <a:ext cx="2657475" cy="3448051"/>
            <a:chOff x="9086850" y="876300"/>
            <a:chExt cx="2657475" cy="3448051"/>
          </a:xfrm>
        </xdr:grpSpPr>
        <xdr:sp macro="" textlink="">
          <xdr:nvSpPr>
            <xdr:cNvPr id="44" name="Retângulo: Cantos Arredondados 43">
              <a:extLst>
                <a:ext uri="{FF2B5EF4-FFF2-40B4-BE49-F238E27FC236}">
                  <a16:creationId xmlns:a16="http://schemas.microsoft.com/office/drawing/2014/main" id="{11CD09C3-2702-46DD-B79B-F32197FA1E9E}"/>
                </a:ext>
              </a:extLst>
            </xdr:cNvPr>
            <xdr:cNvSpPr/>
          </xdr:nvSpPr>
          <xdr:spPr>
            <a:xfrm>
              <a:off x="9086850" y="876300"/>
              <a:ext cx="2657475" cy="3448051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600" b="1"/>
                <a:t>Demonstrativos</a:t>
              </a:r>
            </a:p>
            <a:p>
              <a:pPr algn="ctr"/>
              <a:endParaRPr lang="pt-BR" sz="1600" b="1"/>
            </a:p>
          </xdr:txBody>
        </xdr:sp>
        <xdr:grpSp>
          <xdr:nvGrpSpPr>
            <xdr:cNvPr id="69" name="Agrupar 68">
              <a:extLst>
                <a:ext uri="{FF2B5EF4-FFF2-40B4-BE49-F238E27FC236}">
                  <a16:creationId xmlns:a16="http://schemas.microsoft.com/office/drawing/2014/main" id="{A72BDFC8-1F4A-4DA0-ABE9-949EE0396093}"/>
                </a:ext>
              </a:extLst>
            </xdr:cNvPr>
            <xdr:cNvGrpSpPr/>
          </xdr:nvGrpSpPr>
          <xdr:grpSpPr>
            <a:xfrm>
              <a:off x="9134475" y="2066925"/>
              <a:ext cx="2533650" cy="771526"/>
              <a:chOff x="9134475" y="2066925"/>
              <a:chExt cx="2533650" cy="771526"/>
            </a:xfrm>
          </xdr:grpSpPr>
          <xdr:sp macro="[0]!DashboardReceber" textlink="">
            <xdr:nvSpPr>
              <xdr:cNvPr id="63" name="Retângulo: Cantos Arredondados 62">
                <a:extLst>
                  <a:ext uri="{FF2B5EF4-FFF2-40B4-BE49-F238E27FC236}">
                    <a16:creationId xmlns:a16="http://schemas.microsoft.com/office/drawing/2014/main" id="{38F7F601-3380-462B-A2A0-9B7AD138E6D1}"/>
                  </a:ext>
                </a:extLst>
              </xdr:cNvPr>
              <xdr:cNvSpPr/>
            </xdr:nvSpPr>
            <xdr:spPr>
              <a:xfrm>
                <a:off x="9134475" y="2114550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Recebimentos</a:t>
                </a:r>
              </a:p>
            </xdr:txBody>
          </xdr:sp>
          <xdr:pic macro="[0]!DashboardReceber">
            <xdr:nvPicPr>
              <xdr:cNvPr id="68" name="Imagem 67">
                <a:extLst>
                  <a:ext uri="{FF2B5EF4-FFF2-40B4-BE49-F238E27FC236}">
                    <a16:creationId xmlns:a16="http://schemas.microsoft.com/office/drawing/2014/main" id="{57E18313-068B-4E47-A71A-492D21E1DAB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172575" y="2066925"/>
                <a:ext cx="790575" cy="771526"/>
              </a:xfrm>
              <a:prstGeom prst="rect">
                <a:avLst/>
              </a:prstGeom>
            </xdr:spPr>
          </xdr:pic>
        </xdr:grpSp>
        <xdr:grpSp>
          <xdr:nvGrpSpPr>
            <xdr:cNvPr id="66" name="Agrupar 65">
              <a:extLst>
                <a:ext uri="{FF2B5EF4-FFF2-40B4-BE49-F238E27FC236}">
                  <a16:creationId xmlns:a16="http://schemas.microsoft.com/office/drawing/2014/main" id="{BC0601C4-A8B2-49B4-A9B3-D4134C226D8A}"/>
                </a:ext>
              </a:extLst>
            </xdr:cNvPr>
            <xdr:cNvGrpSpPr/>
          </xdr:nvGrpSpPr>
          <xdr:grpSpPr>
            <a:xfrm>
              <a:off x="9134475" y="1400174"/>
              <a:ext cx="2533650" cy="714375"/>
              <a:chOff x="9134475" y="1400174"/>
              <a:chExt cx="2533650" cy="714375"/>
            </a:xfrm>
          </xdr:grpSpPr>
          <xdr:sp macro="[0]!DashboardApagar" textlink="">
            <xdr:nvSpPr>
              <xdr:cNvPr id="60" name="Retângulo: Cantos Arredondados 59">
                <a:extLst>
                  <a:ext uri="{FF2B5EF4-FFF2-40B4-BE49-F238E27FC236}">
                    <a16:creationId xmlns:a16="http://schemas.microsoft.com/office/drawing/2014/main" id="{F6D63C3D-AD8D-4FAF-9CB5-908BF4EC079D}"/>
                  </a:ext>
                </a:extLst>
              </xdr:cNvPr>
              <xdr:cNvSpPr/>
            </xdr:nvSpPr>
            <xdr:spPr>
              <a:xfrm>
                <a:off x="9134475" y="1409700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1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Pagamentos</a:t>
                </a:r>
              </a:p>
            </xdr:txBody>
          </xdr:sp>
          <xdr:pic>
            <xdr:nvPicPr>
              <xdr:cNvPr id="65" name="Imagem 64">
                <a:extLst>
                  <a:ext uri="{FF2B5EF4-FFF2-40B4-BE49-F238E27FC236}">
                    <a16:creationId xmlns:a16="http://schemas.microsoft.com/office/drawing/2014/main" id="{08EAC8F3-124E-4ACD-9CD3-F7487F62877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210675" y="1400174"/>
                <a:ext cx="714375" cy="714375"/>
              </a:xfrm>
              <a:prstGeom prst="rect">
                <a:avLst/>
              </a:prstGeom>
            </xdr:spPr>
          </xdr:pic>
        </xdr:grpSp>
        <xdr:grpSp>
          <xdr:nvGrpSpPr>
            <xdr:cNvPr id="12" name="Agrupar 11">
              <a:extLst>
                <a:ext uri="{FF2B5EF4-FFF2-40B4-BE49-F238E27FC236}">
                  <a16:creationId xmlns:a16="http://schemas.microsoft.com/office/drawing/2014/main" id="{24FDF2D1-2BA9-4BDD-98C0-64DFE9209888}"/>
                </a:ext>
              </a:extLst>
            </xdr:cNvPr>
            <xdr:cNvGrpSpPr/>
          </xdr:nvGrpSpPr>
          <xdr:grpSpPr>
            <a:xfrm>
              <a:off x="9134475" y="2771775"/>
              <a:ext cx="2533650" cy="742950"/>
              <a:chOff x="9134475" y="2771775"/>
              <a:chExt cx="2533650" cy="742950"/>
            </a:xfrm>
          </xdr:grpSpPr>
          <xdr:sp macro="[0]!ChamarRelPericias" textlink="">
            <xdr:nvSpPr>
              <xdr:cNvPr id="72" name="Retângulo: Cantos Arredondados 71">
                <a:extLst>
                  <a:ext uri="{FF2B5EF4-FFF2-40B4-BE49-F238E27FC236}">
                    <a16:creationId xmlns:a16="http://schemas.microsoft.com/office/drawing/2014/main" id="{2BA01F97-6D67-417F-AA78-CA84150B6B3B}"/>
                  </a:ext>
                </a:extLst>
              </xdr:cNvPr>
              <xdr:cNvSpPr/>
            </xdr:nvSpPr>
            <xdr:spPr>
              <a:xfrm>
                <a:off x="9134475" y="2809875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Recebimentos</a:t>
                </a:r>
              </a:p>
            </xdr:txBody>
          </xdr:sp>
          <xdr:pic>
            <xdr:nvPicPr>
              <xdr:cNvPr id="74" name="Imagem 73">
                <a:extLst>
                  <a:ext uri="{FF2B5EF4-FFF2-40B4-BE49-F238E27FC236}">
                    <a16:creationId xmlns:a16="http://schemas.microsoft.com/office/drawing/2014/main" id="{9ECD6C31-FEA3-44A9-A6FB-906DCC24CC4E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172575" y="2771775"/>
                <a:ext cx="742950" cy="742950"/>
              </a:xfrm>
              <a:prstGeom prst="rect">
                <a:avLst/>
              </a:prstGeom>
            </xdr:spPr>
          </xdr:pic>
        </xdr:grpSp>
        <xdr:grpSp>
          <xdr:nvGrpSpPr>
            <xdr:cNvPr id="10" name="Agrupar 9">
              <a:extLst>
                <a:ext uri="{FF2B5EF4-FFF2-40B4-BE49-F238E27FC236}">
                  <a16:creationId xmlns:a16="http://schemas.microsoft.com/office/drawing/2014/main" id="{441D8F75-C8FB-425E-9222-21E2AD529E83}"/>
                </a:ext>
              </a:extLst>
            </xdr:cNvPr>
            <xdr:cNvGrpSpPr/>
          </xdr:nvGrpSpPr>
          <xdr:grpSpPr>
            <a:xfrm>
              <a:off x="9144000" y="3467100"/>
              <a:ext cx="2533650" cy="723900"/>
              <a:chOff x="9144000" y="3467100"/>
              <a:chExt cx="2533650" cy="723900"/>
            </a:xfrm>
          </xdr:grpSpPr>
          <xdr:sp macro="[0]!ChamaVistoriaPendentes" textlink="">
            <xdr:nvSpPr>
              <xdr:cNvPr id="51" name="Retângulo: Cantos Arredondados 50">
                <a:extLst>
                  <a:ext uri="{FF2B5EF4-FFF2-40B4-BE49-F238E27FC236}">
                    <a16:creationId xmlns:a16="http://schemas.microsoft.com/office/drawing/2014/main" id="{0C8E3579-0430-4158-9AD9-7205F3872BEC}"/>
                  </a:ext>
                </a:extLst>
              </xdr:cNvPr>
              <xdr:cNvSpPr/>
            </xdr:nvSpPr>
            <xdr:spPr>
              <a:xfrm>
                <a:off x="9144000" y="3505200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Pendência</a:t>
                </a:r>
                <a:r>
                  <a:rPr lang="pt-BR" sz="1050" b="1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de Vistoria</a:t>
                </a:r>
                <a:endPara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5" name="Imagem 4">
                <a:extLst>
                  <a:ext uri="{FF2B5EF4-FFF2-40B4-BE49-F238E27FC236}">
                    <a16:creationId xmlns:a16="http://schemas.microsoft.com/office/drawing/2014/main" id="{7F6D8ADE-1A68-4527-B966-795D2182E1D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144000" y="3467100"/>
                <a:ext cx="723900" cy="723900"/>
              </a:xfrm>
              <a:prstGeom prst="rect">
                <a:avLst/>
              </a:prstGeom>
            </xdr:spPr>
          </xdr:pic>
        </xdr:grpSp>
      </xdr:grpSp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D0652093-97F7-4C73-85EA-3A452F3A0855}"/>
              </a:ext>
            </a:extLst>
          </xdr:cNvPr>
          <xdr:cNvGrpSpPr/>
        </xdr:nvGrpSpPr>
        <xdr:grpSpPr>
          <a:xfrm>
            <a:off x="3419475" y="895350"/>
            <a:ext cx="2657475" cy="3448051"/>
            <a:chOff x="4591050" y="1028700"/>
            <a:chExt cx="2657475" cy="3448051"/>
          </a:xfrm>
        </xdr:grpSpPr>
        <xdr:grpSp>
          <xdr:nvGrpSpPr>
            <xdr:cNvPr id="23" name="Agrupar 22">
              <a:extLst>
                <a:ext uri="{FF2B5EF4-FFF2-40B4-BE49-F238E27FC236}">
                  <a16:creationId xmlns:a16="http://schemas.microsoft.com/office/drawing/2014/main" id="{CAD70086-9ED8-4EFB-97F5-D54D22D696E1}"/>
                </a:ext>
              </a:extLst>
            </xdr:cNvPr>
            <xdr:cNvGrpSpPr/>
          </xdr:nvGrpSpPr>
          <xdr:grpSpPr>
            <a:xfrm>
              <a:off x="4591050" y="1028700"/>
              <a:ext cx="2657475" cy="3448051"/>
              <a:chOff x="3695700" y="866775"/>
              <a:chExt cx="2657475" cy="3448051"/>
            </a:xfrm>
          </xdr:grpSpPr>
          <xdr:sp macro="" textlink="">
            <xdr:nvSpPr>
              <xdr:cNvPr id="38" name="Retângulo: Cantos Arredondados 37">
                <a:extLst>
                  <a:ext uri="{FF2B5EF4-FFF2-40B4-BE49-F238E27FC236}">
                    <a16:creationId xmlns:a16="http://schemas.microsoft.com/office/drawing/2014/main" id="{D6AA1E49-772A-4529-BBC8-393660C246FA}"/>
                  </a:ext>
                </a:extLst>
              </xdr:cNvPr>
              <xdr:cNvSpPr/>
            </xdr:nvSpPr>
            <xdr:spPr>
              <a:xfrm>
                <a:off x="3695700" y="866775"/>
                <a:ext cx="2657475" cy="3448051"/>
              </a:xfrm>
              <a:prstGeom prst="round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pt-BR" sz="1600" b="1"/>
                  <a:t>Lançamentos</a:t>
                </a:r>
              </a:p>
              <a:p>
                <a:pPr algn="ctr"/>
                <a:endParaRPr lang="pt-BR" sz="1600" b="1"/>
              </a:p>
            </xdr:txBody>
          </xdr:sp>
          <xdr:grpSp>
            <xdr:nvGrpSpPr>
              <xdr:cNvPr id="40" name="Agrupar 39">
                <a:extLst>
                  <a:ext uri="{FF2B5EF4-FFF2-40B4-BE49-F238E27FC236}">
                    <a16:creationId xmlns:a16="http://schemas.microsoft.com/office/drawing/2014/main" id="{8740AB46-5184-4BBC-B929-2F34F481E318}"/>
                  </a:ext>
                </a:extLst>
              </xdr:cNvPr>
              <xdr:cNvGrpSpPr/>
            </xdr:nvGrpSpPr>
            <xdr:grpSpPr>
              <a:xfrm>
                <a:off x="3762376" y="2095500"/>
                <a:ext cx="2574000" cy="647700"/>
                <a:chOff x="9886951" y="1905000"/>
                <a:chExt cx="2533650" cy="647700"/>
              </a:xfrm>
            </xdr:grpSpPr>
            <xdr:sp macro="[0]!ChamarLancPenhor" textlink="">
              <xdr:nvSpPr>
                <xdr:cNvPr id="14" name="Retângulo: Cantos Arredondados 13">
                  <a:extLst>
                    <a:ext uri="{FF2B5EF4-FFF2-40B4-BE49-F238E27FC236}">
                      <a16:creationId xmlns:a16="http://schemas.microsoft.com/office/drawing/2014/main" id="{DB8DA108-148E-4C05-8F5A-FE6394D039EA}"/>
                    </a:ext>
                  </a:extLst>
                </xdr:cNvPr>
                <xdr:cNvSpPr/>
              </xdr:nvSpPr>
              <xdr:spPr>
                <a:xfrm>
                  <a:off x="9886951" y="1905000"/>
                  <a:ext cx="2533650" cy="647700"/>
                </a:xfrm>
                <a:prstGeom prst="roundRect">
                  <a:avLst/>
                </a:prstGeom>
                <a:ln/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marL="0" indent="0" algn="ctr"/>
                  <a:r>
                    <a:rPr lang="pt-BR" sz="1200" b="1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rPr>
                    <a:t>         </a:t>
                  </a:r>
                  <a:r>
                    <a:rPr lang="pt-BR" sz="1200" b="1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rPr>
                    <a:t>Lançamento de Penhor</a:t>
                  </a:r>
                </a:p>
              </xdr:txBody>
            </xdr:sp>
            <xdr:pic>
              <xdr:nvPicPr>
                <xdr:cNvPr id="18" name="Imagem 17">
                  <a:extLst>
                    <a:ext uri="{FF2B5EF4-FFF2-40B4-BE49-F238E27FC236}">
                      <a16:creationId xmlns:a16="http://schemas.microsoft.com/office/drawing/2014/main" id="{BED0CF73-78FC-4D9D-94C0-4183228FFCD4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53625" y="1914525"/>
                  <a:ext cx="609600" cy="60960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53" name="Agrupar 52">
                <a:extLst>
                  <a:ext uri="{FF2B5EF4-FFF2-40B4-BE49-F238E27FC236}">
                    <a16:creationId xmlns:a16="http://schemas.microsoft.com/office/drawing/2014/main" id="{34A51154-8BCD-49C2-9173-0CFAE77E5BCA}"/>
                  </a:ext>
                </a:extLst>
              </xdr:cNvPr>
              <xdr:cNvGrpSpPr/>
            </xdr:nvGrpSpPr>
            <xdr:grpSpPr>
              <a:xfrm>
                <a:off x="3752851" y="2781300"/>
                <a:ext cx="2574000" cy="647700"/>
                <a:chOff x="3752851" y="2781300"/>
                <a:chExt cx="2574000" cy="647700"/>
              </a:xfrm>
            </xdr:grpSpPr>
            <xdr:sp macro="[0]!ChamarPagamento" textlink="">
              <xdr:nvSpPr>
                <xdr:cNvPr id="46" name="Retângulo: Cantos Arredondados 45">
                  <a:extLst>
                    <a:ext uri="{FF2B5EF4-FFF2-40B4-BE49-F238E27FC236}">
                      <a16:creationId xmlns:a16="http://schemas.microsoft.com/office/drawing/2014/main" id="{EED96968-216E-4F80-9916-9A5530655597}"/>
                    </a:ext>
                  </a:extLst>
                </xdr:cNvPr>
                <xdr:cNvSpPr/>
              </xdr:nvSpPr>
              <xdr:spPr>
                <a:xfrm>
                  <a:off x="3752851" y="2781300"/>
                  <a:ext cx="2574000" cy="647700"/>
                </a:xfrm>
                <a:prstGeom prst="roundRect">
                  <a:avLst/>
                </a:prstGeom>
                <a:ln/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marL="0" indent="0" algn="ctr"/>
                  <a:r>
                    <a:rPr lang="pt-BR" sz="1200" b="1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rPr>
                    <a:t>      Pagamentos Peritos</a:t>
                  </a:r>
                </a:p>
              </xdr:txBody>
            </xdr:sp>
            <xdr:pic>
              <xdr:nvPicPr>
                <xdr:cNvPr id="49" name="Imagem 48">
                  <a:extLst>
                    <a:ext uri="{FF2B5EF4-FFF2-40B4-BE49-F238E27FC236}">
                      <a16:creationId xmlns:a16="http://schemas.microsoft.com/office/drawing/2014/main" id="{FCA40E52-DB80-471C-B1A8-25E6827F3D5F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9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3886200" y="2790825"/>
                  <a:ext cx="609600" cy="609600"/>
                </a:xfrm>
                <a:prstGeom prst="rect">
                  <a:avLst/>
                </a:prstGeom>
              </xdr:spPr>
            </xdr:pic>
          </xdr:grpSp>
          <xdr:sp macro="[0]!ChamarRecebimento" textlink="">
            <xdr:nvSpPr>
              <xdr:cNvPr id="50" name="Retângulo: Cantos Arredondados 49">
                <a:extLst>
                  <a:ext uri="{FF2B5EF4-FFF2-40B4-BE49-F238E27FC236}">
                    <a16:creationId xmlns:a16="http://schemas.microsoft.com/office/drawing/2014/main" id="{57B1C42C-19F9-4CDA-AA34-BBAE846F43FF}"/>
                  </a:ext>
                </a:extLst>
              </xdr:cNvPr>
              <xdr:cNvSpPr/>
            </xdr:nvSpPr>
            <xdr:spPr>
              <a:xfrm>
                <a:off x="3743325" y="3467100"/>
                <a:ext cx="257400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r"/>
                <a:r>
                  <a:rPr lang="pt-BR" sz="12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Recebimento Seguradoras</a:t>
                </a:r>
              </a:p>
            </xdr:txBody>
          </xdr:sp>
          <xdr:grpSp>
            <xdr:nvGrpSpPr>
              <xdr:cNvPr id="39" name="Agrupar 38">
                <a:extLst>
                  <a:ext uri="{FF2B5EF4-FFF2-40B4-BE49-F238E27FC236}">
                    <a16:creationId xmlns:a16="http://schemas.microsoft.com/office/drawing/2014/main" id="{B4229E61-2CE6-4CDC-843C-249626192090}"/>
                  </a:ext>
                </a:extLst>
              </xdr:cNvPr>
              <xdr:cNvGrpSpPr/>
            </xdr:nvGrpSpPr>
            <xdr:grpSpPr>
              <a:xfrm>
                <a:off x="3743326" y="1390650"/>
                <a:ext cx="2574000" cy="647700"/>
                <a:chOff x="9858376" y="1171575"/>
                <a:chExt cx="2533650" cy="647700"/>
              </a:xfrm>
            </xdr:grpSpPr>
            <xdr:sp macro="[0]!ChamarLancPericia" textlink="">
              <xdr:nvSpPr>
                <xdr:cNvPr id="17" name="Retângulo: Cantos Arredondados 16">
                  <a:extLst>
                    <a:ext uri="{FF2B5EF4-FFF2-40B4-BE49-F238E27FC236}">
                      <a16:creationId xmlns:a16="http://schemas.microsoft.com/office/drawing/2014/main" id="{7A1AB208-7E87-478F-AAE2-AEE61C4AD456}"/>
                    </a:ext>
                  </a:extLst>
                </xdr:cNvPr>
                <xdr:cNvSpPr/>
              </xdr:nvSpPr>
              <xdr:spPr>
                <a:xfrm>
                  <a:off x="9858376" y="1171575"/>
                  <a:ext cx="2533650" cy="647700"/>
                </a:xfrm>
                <a:prstGeom prst="roundRect">
                  <a:avLst/>
                </a:prstGeom>
                <a:ln/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marL="0" indent="0" algn="ctr"/>
                  <a:r>
                    <a:rPr lang="pt-BR" sz="1200" b="1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rPr>
                    <a:t>          Lançamento de Pericias </a:t>
                  </a:r>
                </a:p>
              </xdr:txBody>
            </xdr:sp>
            <xdr:pic>
              <xdr:nvPicPr>
                <xdr:cNvPr id="15" name="Imagem 14">
                  <a:extLst>
                    <a:ext uri="{FF2B5EF4-FFF2-40B4-BE49-F238E27FC236}">
                      <a16:creationId xmlns:a16="http://schemas.microsoft.com/office/drawing/2014/main" id="{B793AEFE-20DA-4046-B155-5D4F1AA39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15525" y="1209675"/>
                  <a:ext cx="609600" cy="609600"/>
                </a:xfrm>
                <a:prstGeom prst="rect">
                  <a:avLst/>
                </a:prstGeom>
              </xdr:spPr>
            </xdr:pic>
          </xdr:grpSp>
        </xdr:grpSp>
        <xdr:pic>
          <xdr:nvPicPr>
            <xdr:cNvPr id="52" name="Imagem 51">
              <a:extLst>
                <a:ext uri="{FF2B5EF4-FFF2-40B4-BE49-F238E27FC236}">
                  <a16:creationId xmlns:a16="http://schemas.microsoft.com/office/drawing/2014/main" id="{A0B6A9BA-08C4-4961-A242-BFAE979EF5E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724400" y="3638550"/>
              <a:ext cx="609600" cy="6096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66674</xdr:rowOff>
    </xdr:from>
    <xdr:to>
      <xdr:col>13</xdr:col>
      <xdr:colOff>914400</xdr:colOff>
      <xdr:row>1</xdr:row>
      <xdr:rowOff>228600</xdr:rowOff>
    </xdr:to>
    <xdr:sp macro="[0]!RelVistori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CB37867-BDEA-4AAE-91DD-037ADB05B539}"/>
            </a:ext>
          </a:extLst>
        </xdr:cNvPr>
        <xdr:cNvSpPr/>
      </xdr:nvSpPr>
      <xdr:spPr>
        <a:xfrm>
          <a:off x="10448925" y="66674"/>
          <a:ext cx="838200" cy="35242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1</xdr:row>
      <xdr:rowOff>9523</xdr:rowOff>
    </xdr:from>
    <xdr:to>
      <xdr:col>0</xdr:col>
      <xdr:colOff>476250</xdr:colOff>
      <xdr:row>1</xdr:row>
      <xdr:rowOff>219073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2DE5FF19-4341-40F2-AD07-9D550798AC5D}"/>
            </a:ext>
          </a:extLst>
        </xdr:cNvPr>
        <xdr:cNvSpPr/>
      </xdr:nvSpPr>
      <xdr:spPr>
        <a:xfrm rot="10800000">
          <a:off x="114300" y="200023"/>
          <a:ext cx="361950" cy="209550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0</xdr:row>
      <xdr:rowOff>47625</xdr:rowOff>
    </xdr:from>
    <xdr:to>
      <xdr:col>12</xdr:col>
      <xdr:colOff>228600</xdr:colOff>
      <xdr:row>0</xdr:row>
      <xdr:rowOff>381000</xdr:rowOff>
    </xdr:to>
    <xdr:sp macro="[0]!FiltroContas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1EAB90-9A81-44F7-AD73-BEAE1F8C129B}"/>
            </a:ext>
          </a:extLst>
        </xdr:cNvPr>
        <xdr:cNvSpPr/>
      </xdr:nvSpPr>
      <xdr:spPr>
        <a:xfrm>
          <a:off x="11115675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CFC8512B-6F6B-4AEE-AE43-5E744B17AC8B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1000125</xdr:colOff>
      <xdr:row>0</xdr:row>
      <xdr:rowOff>47625</xdr:rowOff>
    </xdr:from>
    <xdr:to>
      <xdr:col>12</xdr:col>
      <xdr:colOff>228600</xdr:colOff>
      <xdr:row>0</xdr:row>
      <xdr:rowOff>381000</xdr:rowOff>
    </xdr:to>
    <xdr:sp macro="[0]!FiltroContas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D54560-D5AC-4663-9D50-E2299590AF54}"/>
            </a:ext>
          </a:extLst>
        </xdr:cNvPr>
        <xdr:cNvSpPr/>
      </xdr:nvSpPr>
      <xdr:spPr>
        <a:xfrm>
          <a:off x="11553825" y="47625"/>
          <a:ext cx="5048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0D82202A-19D7-42F9-BE78-572DB0E88BF9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85725</xdr:rowOff>
    </xdr:from>
    <xdr:to>
      <xdr:col>0</xdr:col>
      <xdr:colOff>1390651</xdr:colOff>
      <xdr:row>0</xdr:row>
      <xdr:rowOff>381000</xdr:rowOff>
    </xdr:to>
    <xdr:sp macro="[0]!Atualizar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D431E2B-01BE-4C03-AF60-0BC10D32805C}"/>
            </a:ext>
          </a:extLst>
        </xdr:cNvPr>
        <xdr:cNvSpPr/>
      </xdr:nvSpPr>
      <xdr:spPr>
        <a:xfrm>
          <a:off x="219075" y="85725"/>
          <a:ext cx="1171576" cy="2952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9525</xdr:colOff>
      <xdr:row>0</xdr:row>
      <xdr:rowOff>19050</xdr:rowOff>
    </xdr:from>
    <xdr:to>
      <xdr:col>18</xdr:col>
      <xdr:colOff>571501</xdr:colOff>
      <xdr:row>1</xdr:row>
      <xdr:rowOff>38100</xdr:rowOff>
    </xdr:to>
    <xdr:sp macro="[0]!AtualizaSeguradora2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C69BEE9C-80FC-460B-8E51-CA787747A1DD}"/>
            </a:ext>
          </a:extLst>
        </xdr:cNvPr>
        <xdr:cNvSpPr/>
      </xdr:nvSpPr>
      <xdr:spPr>
        <a:xfrm>
          <a:off x="15649575" y="19050"/>
          <a:ext cx="1733551" cy="5048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seguradora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514351</xdr:colOff>
      <xdr:row>1</xdr:row>
      <xdr:rowOff>19050</xdr:rowOff>
    </xdr:to>
    <xdr:sp macro="[0]!AtaulizarPeri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716A72BD-0678-4EC3-8C6F-028A4B3AE091}"/>
            </a:ext>
          </a:extLst>
        </xdr:cNvPr>
        <xdr:cNvSpPr/>
      </xdr:nvSpPr>
      <xdr:spPr>
        <a:xfrm>
          <a:off x="19821525" y="0"/>
          <a:ext cx="1733551" cy="5048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Peritos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86C57C-9E25-4D68-B594-8A5486E74589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3</xdr:col>
      <xdr:colOff>142875</xdr:colOff>
      <xdr:row>22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TO 1">
              <a:extLst>
                <a:ext uri="{FF2B5EF4-FFF2-40B4-BE49-F238E27FC236}">
                  <a16:creationId xmlns:a16="http://schemas.microsoft.com/office/drawing/2014/main" id="{18D5E8BB-1512-4D2B-A348-59B4982DA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3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3ACBBB5D-E786-4264-ABBE-FD2B80DEC7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0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 1">
              <a:extLst>
                <a:ext uri="{FF2B5EF4-FFF2-40B4-BE49-F238E27FC236}">
                  <a16:creationId xmlns:a16="http://schemas.microsoft.com/office/drawing/2014/main" id="{B578A21B-8F25-455D-85DD-702F4EE03B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0</xdr:col>
      <xdr:colOff>104775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RADORA 1">
              <a:extLst>
                <a:ext uri="{FF2B5EF4-FFF2-40B4-BE49-F238E27FC236}">
                  <a16:creationId xmlns:a16="http://schemas.microsoft.com/office/drawing/2014/main" id="{67636B51-C17F-49B7-9B66-D17CEDDA5E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7" name="Seta: para a Direita 6">
          <a:extLst>
            <a:ext uri="{FF2B5EF4-FFF2-40B4-BE49-F238E27FC236}">
              <a16:creationId xmlns:a16="http://schemas.microsoft.com/office/drawing/2014/main" id="{BFBF9689-FE61-464F-87CE-C599D123C029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9B1F61-315D-468E-B0B3-B582162DB850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Pagar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16" name="Seta: para a Direita 15">
          <a:extLst>
            <a:ext uri="{FF2B5EF4-FFF2-40B4-BE49-F238E27FC236}">
              <a16:creationId xmlns:a16="http://schemas.microsoft.com/office/drawing/2014/main" id="{6BDA5EE0-BDA0-4848-B59E-20B1BF624C0D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95250</xdr:colOff>
      <xdr:row>1</xdr:row>
      <xdr:rowOff>123825</xdr:rowOff>
    </xdr:from>
    <xdr:to>
      <xdr:col>3</xdr:col>
      <xdr:colOff>95250</xdr:colOff>
      <xdr:row>14</xdr:row>
      <xdr:rowOff>171450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9" name="PERITO 3">
              <a:extLst>
                <a:ext uri="{FF2B5EF4-FFF2-40B4-BE49-F238E27FC236}">
                  <a16:creationId xmlns:a16="http://schemas.microsoft.com/office/drawing/2014/main" id="{AF03B8A1-0898-413E-8FC2-CC95BF4156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6286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123825</xdr:colOff>
      <xdr:row>1</xdr:row>
      <xdr:rowOff>114300</xdr:rowOff>
    </xdr:from>
    <xdr:to>
      <xdr:col>6</xdr:col>
      <xdr:colOff>123825</xdr:colOff>
      <xdr:row>14</xdr:row>
      <xdr:rowOff>161925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0" name="SEGURADORA 3">
              <a:extLst>
                <a:ext uri="{FF2B5EF4-FFF2-40B4-BE49-F238E27FC236}">
                  <a16:creationId xmlns:a16="http://schemas.microsoft.com/office/drawing/2014/main" id="{6D3931E7-A619-4EE0-996E-B36503ADB5C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52625" y="6191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123825</xdr:colOff>
      <xdr:row>15</xdr:row>
      <xdr:rowOff>9526</xdr:rowOff>
    </xdr:from>
    <xdr:to>
      <xdr:col>6</xdr:col>
      <xdr:colOff>123825</xdr:colOff>
      <xdr:row>21</xdr:row>
      <xdr:rowOff>180975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2" name="TIPO 3">
              <a:extLst>
                <a:ext uri="{FF2B5EF4-FFF2-40B4-BE49-F238E27FC236}">
                  <a16:creationId xmlns:a16="http://schemas.microsoft.com/office/drawing/2014/main" id="{6B41AD86-A931-4E8C-ABAF-AEF568442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52625" y="3181351"/>
              <a:ext cx="1828800" cy="13144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15</xdr:row>
      <xdr:rowOff>9526</xdr:rowOff>
    </xdr:from>
    <xdr:to>
      <xdr:col>3</xdr:col>
      <xdr:colOff>95250</xdr:colOff>
      <xdr:row>21</xdr:row>
      <xdr:rowOff>180975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3" name="STATUS 3">
              <a:extLst>
                <a:ext uri="{FF2B5EF4-FFF2-40B4-BE49-F238E27FC236}">
                  <a16:creationId xmlns:a16="http://schemas.microsoft.com/office/drawing/2014/main" id="{EB78E55E-02DD-48FB-8E6A-85BCBD3195D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3181351"/>
              <a:ext cx="1828800" cy="13144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13</xdr:col>
      <xdr:colOff>0</xdr:colOff>
      <xdr:row>1</xdr:row>
      <xdr:rowOff>28575</xdr:rowOff>
    </xdr:from>
    <xdr:to>
      <xdr:col>20</xdr:col>
      <xdr:colOff>0</xdr:colOff>
      <xdr:row>15</xdr:row>
      <xdr:rowOff>104775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1CBD4EA3-9E5F-46B3-8E11-A1AB8D559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</xdr:row>
      <xdr:rowOff>85725</xdr:rowOff>
    </xdr:from>
    <xdr:to>
      <xdr:col>13</xdr:col>
      <xdr:colOff>514350</xdr:colOff>
      <xdr:row>15</xdr:row>
      <xdr:rowOff>161925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C7CC43F4-AF88-4D3C-ACFB-32590534C1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371475</xdr:colOff>
      <xdr:row>15</xdr:row>
      <xdr:rowOff>76200</xdr:rowOff>
    </xdr:from>
    <xdr:to>
      <xdr:col>12</xdr:col>
      <xdr:colOff>9525</xdr:colOff>
      <xdr:row>27</xdr:row>
      <xdr:rowOff>180975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1F799C67-8D7B-4182-8B52-B776027C42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161925</xdr:colOff>
      <xdr:row>15</xdr:row>
      <xdr:rowOff>152400</xdr:rowOff>
    </xdr:from>
    <xdr:to>
      <xdr:col>20</xdr:col>
      <xdr:colOff>0</xdr:colOff>
      <xdr:row>30</xdr:row>
      <xdr:rowOff>38100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12011C23-164D-41A3-94AF-C2C1BF8C93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28573</xdr:colOff>
      <xdr:row>0</xdr:row>
      <xdr:rowOff>47625</xdr:rowOff>
    </xdr:from>
    <xdr:to>
      <xdr:col>0</xdr:col>
      <xdr:colOff>1304924</xdr:colOff>
      <xdr:row>0</xdr:row>
      <xdr:rowOff>342900</xdr:rowOff>
    </xdr:to>
    <xdr:sp macro="[0]!AtualizarA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16F4AA3-EE83-4CD0-80A3-8405272D5D64}"/>
            </a:ext>
          </a:extLst>
        </xdr:cNvPr>
        <xdr:cNvSpPr/>
      </xdr:nvSpPr>
      <xdr:spPr>
        <a:xfrm>
          <a:off x="3590923" y="47625"/>
          <a:ext cx="1276351" cy="2952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9525</xdr:colOff>
      <xdr:row>0</xdr:row>
      <xdr:rowOff>66675</xdr:rowOff>
    </xdr:from>
    <xdr:to>
      <xdr:col>17</xdr:col>
      <xdr:colOff>1181101</xdr:colOff>
      <xdr:row>0</xdr:row>
      <xdr:rowOff>571501</xdr:rowOff>
    </xdr:to>
    <xdr:sp macro="[0]!AtualizarSegurador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AB52F54-0EAE-4C44-8D80-F06A02133720}"/>
            </a:ext>
          </a:extLst>
        </xdr:cNvPr>
        <xdr:cNvSpPr/>
      </xdr:nvSpPr>
      <xdr:spPr>
        <a:xfrm>
          <a:off x="17859375" y="66675"/>
          <a:ext cx="1171576" cy="504826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Seguradora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0</xdr:colOff>
      <xdr:row>0</xdr:row>
      <xdr:rowOff>1</xdr:rowOff>
    </xdr:from>
    <xdr:to>
      <xdr:col>24</xdr:col>
      <xdr:colOff>514351</xdr:colOff>
      <xdr:row>0</xdr:row>
      <xdr:rowOff>628651</xdr:rowOff>
    </xdr:to>
    <xdr:sp macro="[0]!AtaulizarPeritos2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C438662-179D-404A-930F-7A581A004360}"/>
            </a:ext>
          </a:extLst>
        </xdr:cNvPr>
        <xdr:cNvSpPr/>
      </xdr:nvSpPr>
      <xdr:spPr>
        <a:xfrm>
          <a:off x="21659850" y="1"/>
          <a:ext cx="1733551" cy="628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Peritos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FB167F-3225-45B7-B62D-49CD1E3506FE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6</xdr:col>
      <xdr:colOff>161925</xdr:colOff>
      <xdr:row>22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ERITO">
              <a:extLst>
                <a:ext uri="{FF2B5EF4-FFF2-40B4-BE49-F238E27FC236}">
                  <a16:creationId xmlns:a16="http://schemas.microsoft.com/office/drawing/2014/main" id="{6012B047-AF4C-447A-987A-63427D234A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184785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6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">
              <a:extLst>
                <a:ext uri="{FF2B5EF4-FFF2-40B4-BE49-F238E27FC236}">
                  <a16:creationId xmlns:a16="http://schemas.microsoft.com/office/drawing/2014/main" id="{245D1AB8-3318-469B-A27D-51C499AAAB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182880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3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TATUS">
              <a:extLst>
                <a:ext uri="{FF2B5EF4-FFF2-40B4-BE49-F238E27FC236}">
                  <a16:creationId xmlns:a16="http://schemas.microsoft.com/office/drawing/2014/main" id="{41C8C79D-F9D0-439C-BE20-30C95EE132F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182880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3</xdr:col>
      <xdr:colOff>104775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EGURADORA">
              <a:extLst>
                <a:ext uri="{FF2B5EF4-FFF2-40B4-BE49-F238E27FC236}">
                  <a16:creationId xmlns:a16="http://schemas.microsoft.com/office/drawing/2014/main" id="{F4CC95D8-FF9D-450B-BCBD-5FA28BF376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8" name="Seta: para a Direita 7">
          <a:extLst>
            <a:ext uri="{FF2B5EF4-FFF2-40B4-BE49-F238E27FC236}">
              <a16:creationId xmlns:a16="http://schemas.microsoft.com/office/drawing/2014/main" id="{F4DF581F-8C18-4EAD-994E-996C9573357B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190500</xdr:colOff>
      <xdr:row>1</xdr:row>
      <xdr:rowOff>95251</xdr:rowOff>
    </xdr:from>
    <xdr:to>
      <xdr:col>13</xdr:col>
      <xdr:colOff>133350</xdr:colOff>
      <xdr:row>14</xdr:row>
      <xdr:rowOff>171451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CF1AAD4-BAB7-4202-85BA-BBFA927EBB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219075</xdr:colOff>
      <xdr:row>1</xdr:row>
      <xdr:rowOff>76200</xdr:rowOff>
    </xdr:from>
    <xdr:to>
      <xdr:col>19</xdr:col>
      <xdr:colOff>495300</xdr:colOff>
      <xdr:row>14</xdr:row>
      <xdr:rowOff>57150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7A090452-CF98-4DF6-9129-985341EE51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76200</xdr:colOff>
      <xdr:row>14</xdr:row>
      <xdr:rowOff>95250</xdr:rowOff>
    </xdr:from>
    <xdr:to>
      <xdr:col>19</xdr:col>
      <xdr:colOff>409575</xdr:colOff>
      <xdr:row>30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2937C21-6401-4A2A-BDD2-78D6B19F31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314325</xdr:colOff>
      <xdr:row>14</xdr:row>
      <xdr:rowOff>142875</xdr:rowOff>
    </xdr:from>
    <xdr:to>
      <xdr:col>13</xdr:col>
      <xdr:colOff>171450</xdr:colOff>
      <xdr:row>29</xdr:row>
      <xdr:rowOff>28575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51EF7AE7-9B7C-41EA-80B6-A28766888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104775</xdr:colOff>
      <xdr:row>28</xdr:row>
      <xdr:rowOff>171450</xdr:rowOff>
    </xdr:from>
    <xdr:to>
      <xdr:col>3</xdr:col>
      <xdr:colOff>75975</xdr:colOff>
      <xdr:row>30</xdr:row>
      <xdr:rowOff>150450</xdr:rowOff>
    </xdr:to>
    <xdr:sp macro="[0]!AtualizarAReceber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394D4B32-3940-4526-9BE2-B062180AE805}"/>
            </a:ext>
          </a:extLst>
        </xdr:cNvPr>
        <xdr:cNvSpPr/>
      </xdr:nvSpPr>
      <xdr:spPr>
        <a:xfrm>
          <a:off x="104775" y="5819775"/>
          <a:ext cx="180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142875</xdr:colOff>
      <xdr:row>29</xdr:row>
      <xdr:rowOff>0</xdr:rowOff>
    </xdr:from>
    <xdr:to>
      <xdr:col>6</xdr:col>
      <xdr:colOff>114075</xdr:colOff>
      <xdr:row>30</xdr:row>
      <xdr:rowOff>169500</xdr:rowOff>
    </xdr:to>
    <xdr:sp macro="[0]!AtualizarSeguradora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16E1D20F-E244-4E64-8653-DBE9C3355A71}"/>
            </a:ext>
          </a:extLst>
        </xdr:cNvPr>
        <xdr:cNvSpPr/>
      </xdr:nvSpPr>
      <xdr:spPr>
        <a:xfrm>
          <a:off x="1971675" y="5838825"/>
          <a:ext cx="180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Seguradora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142875</xdr:colOff>
      <xdr:row>29</xdr:row>
      <xdr:rowOff>0</xdr:rowOff>
    </xdr:from>
    <xdr:to>
      <xdr:col>9</xdr:col>
      <xdr:colOff>114075</xdr:colOff>
      <xdr:row>30</xdr:row>
      <xdr:rowOff>169500</xdr:rowOff>
    </xdr:to>
    <xdr:sp macro="[0]!AtaulizarPeritos2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D55EA210-1D04-4733-A002-C2234E45B31C}"/>
            </a:ext>
          </a:extLst>
        </xdr:cNvPr>
        <xdr:cNvSpPr/>
      </xdr:nvSpPr>
      <xdr:spPr>
        <a:xfrm>
          <a:off x="3800475" y="5838825"/>
          <a:ext cx="180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Peritos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48.917001388887" createdVersion="6" refreshedVersion="6" minRefreshableVersion="3" recordCount="4" xr:uid="{DF16F052-B3E1-466F-BB5A-3079F71561C7}">
  <cacheSource type="worksheet">
    <worksheetSource name="Tabela8"/>
  </cacheSource>
  <cacheFields count="18">
    <cacheField name="PERITO" numFmtId="0">
      <sharedItems containsMixedTypes="1" containsNumber="1" containsInteger="1" minValue="1" maxValue="1" count="4">
        <s v="Vinicius"/>
        <s v="Vinicius Tessele"/>
        <s v="Emerson"/>
        <n v="1" u="1"/>
      </sharedItems>
    </cacheField>
    <cacheField name="SINISTRO" numFmtId="0">
      <sharedItems containsSemiMixedTypes="0" containsString="0" containsNumber="1" containsInteger="1" minValue="1" maxValue="987" count="6">
        <n v="45"/>
        <n v="2"/>
        <n v="1"/>
        <n v="3"/>
        <n v="987" u="1"/>
        <n v="785" u="1"/>
      </sharedItems>
    </cacheField>
    <cacheField name="APOLICE" numFmtId="0">
      <sharedItems containsNonDate="0" containsString="0" containsBlank="1" containsNumber="1" containsInteger="1" minValue="3" maxValue="3" count="2">
        <m/>
        <n v="3" u="1"/>
      </sharedItems>
    </cacheField>
    <cacheField name="DT VISTORIA" numFmtId="14">
      <sharedItems containsDate="1" containsMixedTypes="1" minDate="2020-01-01T00:00:00" maxDate="2021-07-03T00:00:00" count="5">
        <d v="2020-01-01T00:00:00"/>
        <s v="21/02/2021"/>
        <s v="22/02/2021"/>
        <d v="2021-02-07T00:00:00" u="1"/>
        <d v="2021-07-02T00:00:00" u="1"/>
      </sharedItems>
    </cacheField>
    <cacheField name=" HONORÁRIO R$ " numFmtId="0">
      <sharedItems containsSemiMixedTypes="0" containsString="0" containsNumber="1" minValue="2" maxValue="602.1" count="5">
        <n v="602.1"/>
        <n v="150"/>
        <n v="5" u="1"/>
        <n v="2" u="1"/>
        <n v="10" u="1"/>
      </sharedItems>
    </cacheField>
    <cacheField name="VALOR KM R$" numFmtId="0">
      <sharedItems containsSemiMixedTypes="0" containsString="0" containsNumber="1" containsInteger="1" minValue="1" maxValue="158" count="6">
        <n v="11"/>
        <n v="158"/>
        <n v="155"/>
        <n v="6" u="1"/>
        <n v="50" u="1"/>
        <n v="1" u="1"/>
      </sharedItems>
    </cacheField>
    <cacheField name="HOTEL" numFmtId="0">
      <sharedItems containsSemiMixedTypes="0" containsString="0" containsNumber="1" containsInteger="1" minValue="0" maxValue="50" count="6">
        <n v="11"/>
        <n v="0"/>
        <n v="50"/>
        <n v="7" u="1"/>
        <n v="1" u="1"/>
        <n v="32" u="1"/>
      </sharedItems>
    </cacheField>
    <cacheField name="REFEIÇÃO" numFmtId="0">
      <sharedItems containsSemiMixedTypes="0" containsString="0" containsNumber="1" containsInteger="1" minValue="0" maxValue="223" count="6">
        <n v="223"/>
        <n v="0"/>
        <n v="25"/>
        <n v="14" u="1"/>
        <n v="1" u="1"/>
        <n v="8" u="1"/>
      </sharedItems>
    </cacheField>
    <cacheField name=" PEDÁGIO " numFmtId="44">
      <sharedItems containsString="0" containsBlank="1" containsNumber="1" containsInteger="1" minValue="1" maxValue="223" count="5">
        <n v="223"/>
        <m/>
        <n v="1" u="1"/>
        <n v="9" u="1"/>
        <n v="30" u="1"/>
      </sharedItems>
    </cacheField>
    <cacheField name="PASSAGEM ÁERA" numFmtId="44">
      <sharedItems containsString="0" containsBlank="1" containsNumber="1" containsInteger="1" minValue="1" maxValue="11" count="4">
        <n v="11"/>
        <m/>
        <n v="1" u="1"/>
        <n v="10" u="1"/>
      </sharedItems>
    </cacheField>
    <cacheField name="ALUGUEL CARRO" numFmtId="44">
      <sharedItems containsString="0" containsBlank="1" containsNumber="1" containsInteger="1" minValue="223" maxValue="223"/>
    </cacheField>
    <cacheField name="OUTROS " numFmtId="0">
      <sharedItems containsSemiMixedTypes="0" containsString="0" containsNumber="1" containsInteger="1" minValue="0" maxValue="12" count="5">
        <n v="11"/>
        <n v="0"/>
        <n v="10"/>
        <n v="1" u="1"/>
        <n v="12" u="1"/>
      </sharedItems>
    </cacheField>
    <cacheField name=" TOTAL " numFmtId="0">
      <sharedItems containsSemiMixedTypes="0" containsString="0" containsNumber="1" minValue="13" maxValue="462.1" count="6">
        <n v="223"/>
        <n v="308"/>
        <n v="390"/>
        <n v="13" u="1"/>
        <n v="462.1" u="1"/>
        <n v="16" u="1"/>
      </sharedItems>
    </cacheField>
    <cacheField name="DT LANCAMENTO" numFmtId="14">
      <sharedItems containsSemiMixedTypes="0" containsNonDate="0" containsDate="1" containsString="0" minDate="2021-02-07T00:00:00" maxDate="2021-02-22T00:00:00"/>
    </cacheField>
    <cacheField name="TIPO" numFmtId="0">
      <sharedItems containsMixedTypes="1" containsNumber="1" containsInteger="1" minValue="15" maxValue="15" count="2">
        <s v="Penhor"/>
        <n v="15" u="1"/>
      </sharedItems>
    </cacheField>
    <cacheField name="STATUS" numFmtId="0">
      <sharedItems containsMixedTypes="1" containsNumber="1" containsInteger="1" minValue="16" maxValue="16" count="2">
        <s v="Aberto"/>
        <n v="16" u="1"/>
      </sharedItems>
    </cacheField>
    <cacheField name="DT RECEBIMENTO" numFmtId="14">
      <sharedItems containsNonDate="0" containsDate="1" containsString="0" containsBlank="1" minDate="2021-02-07T00:00:00" maxDate="2021-02-21T00:00:00" count="3">
        <d v="2021-02-07T00:00:00"/>
        <m/>
        <d v="2021-02-20T00:00:00" u="1"/>
      </sharedItems>
    </cacheField>
    <cacheField name="SEGURADORA" numFmtId="0">
      <sharedItems containsBlank="1" containsMixedTypes="1" containsNumber="1" containsInteger="1" minValue="18" maxValue="18" count="3">
        <s v="BrasilSeg"/>
        <m/>
        <n v="18" u="1"/>
      </sharedItems>
    </cacheField>
  </cacheFields>
  <extLst>
    <ext xmlns:x14="http://schemas.microsoft.com/office/spreadsheetml/2009/9/main" uri="{725AE2AE-9491-48be-B2B4-4EB974FC3084}">
      <x14:pivotCacheDefinition pivotCacheId="27736576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50.690446643515" createdVersion="6" refreshedVersion="6" minRefreshableVersion="3" recordCount="3" xr:uid="{D166E7A9-87FE-4228-9291-9CD046157291}">
  <cacheSource type="worksheet">
    <worksheetSource name="Tabela4"/>
  </cacheSource>
  <cacheFields count="34">
    <cacheField name="DT RECEBIMENTO" numFmtId="14">
      <sharedItems containsSemiMixedTypes="0" containsNonDate="0" containsDate="1" containsString="0" minDate="2021-02-21T00:00:00" maxDate="2021-02-22T00:00:00" count="1">
        <d v="2021-02-21T00:00:00"/>
      </sharedItems>
    </cacheField>
    <cacheField name="NF" numFmtId="0">
      <sharedItems containsNonDate="0" containsString="0" containsBlank="1"/>
    </cacheField>
    <cacheField name="DT VISTORIA " numFmtId="14">
      <sharedItems containsNonDate="0" containsDate="1" containsString="0" containsBlank="1" minDate="2021-02-21T00:00:00" maxDate="2021-02-22T00:00:00" count="2">
        <d v="2021-02-21T00:00:00"/>
        <m/>
      </sharedItems>
    </cacheField>
    <cacheField name="DT REVISTORIA" numFmtId="14">
      <sharedItems containsNonDate="0" containsString="0" containsBlank="1"/>
    </cacheField>
    <cacheField name="APÓLICE " numFmtId="0">
      <sharedItems containsNonDate="0" containsString="0" containsBlank="1"/>
    </cacheField>
    <cacheField name="SINISTRO" numFmtId="2">
      <sharedItems containsSemiMixedTypes="0" containsString="0" containsNumber="1" containsInteger="1" minValue="123" maxValue="1253" count="3">
        <n v="123"/>
        <n v="1253"/>
        <n v="145"/>
      </sharedItems>
    </cacheField>
    <cacheField name="SEGURADO" numFmtId="0">
      <sharedItems count="3">
        <s v="Marcos Dutra"/>
        <s v="Cleiton"/>
        <s v="Fernando"/>
      </sharedItems>
    </cacheField>
    <cacheField name="MUNICIPIO " numFmtId="0">
      <sharedItems count="1">
        <s v="Cascavel"/>
      </sharedItems>
    </cacheField>
    <cacheField name="UF" numFmtId="0">
      <sharedItems count="1">
        <s v="PR"/>
      </sharedItems>
    </cacheField>
    <cacheField name="NATUREZA DO SINISTRO" numFmtId="0">
      <sharedItems/>
    </cacheField>
    <cacheField name="PERITO " numFmtId="0">
      <sharedItems/>
    </cacheField>
    <cacheField name=" HONORÁRIO R$  " numFmtId="44">
      <sharedItems containsNonDate="0" containsString="0" containsBlank="1"/>
    </cacheField>
    <cacheField name="KM  " numFmtId="0">
      <sharedItems containsNonDate="0" containsString="0" containsBlank="1"/>
    </cacheField>
    <cacheField name="KM R$" numFmtId="44">
      <sharedItems containsNonDate="0" containsString="0" containsBlank="1"/>
    </cacheField>
    <cacheField name="PEDÁGIO " numFmtId="44">
      <sharedItems containsNonDate="0" containsString="0" containsBlank="1"/>
    </cacheField>
    <cacheField name="HOTEL " numFmtId="44">
      <sharedItems containsNonDate="0" containsString="0" containsBlank="1"/>
    </cacheField>
    <cacheField name="REFEIÇÃO " numFmtId="44">
      <sharedItems containsNonDate="0" containsString="0" containsBlank="1"/>
    </cacheField>
    <cacheField name="PASSAGEM ÁERA" numFmtId="44">
      <sharedItems containsNonDate="0" containsString="0" containsBlank="1"/>
    </cacheField>
    <cacheField name="ALUGUEL CARRO " numFmtId="44">
      <sharedItems containsNonDate="0" containsString="0" containsBlank="1"/>
    </cacheField>
    <cacheField name="OUTROS " numFmtId="44">
      <sharedItems containsNonDate="0" containsString="0" containsBlank="1"/>
    </cacheField>
    <cacheField name="TOTAL  " numFmtId="44">
      <sharedItems containsNonDate="0" containsString="0" containsBlank="1"/>
    </cacheField>
    <cacheField name="SEGURADORA" numFmtId="0">
      <sharedItems/>
    </cacheField>
    <cacheField name="STATUS SEGURADORA" numFmtId="44">
      <sharedItems/>
    </cacheField>
    <cacheField name="STATUS PERITO" numFmtId="44">
      <sharedItems/>
    </cacheField>
    <cacheField name="TIPO DO BEM" numFmtId="44">
      <sharedItems/>
    </cacheField>
    <cacheField name="DT LANÇAMENTO " numFmtId="14">
      <sharedItems containsSemiMixedTypes="0" containsNonDate="0" containsDate="1" containsString="0" minDate="2021-02-22T00:00:00" maxDate="2021-02-23T00:00:00"/>
    </cacheField>
    <cacheField name="KM RODADO EMPRESA" numFmtId="44">
      <sharedItems containsNonDate="0" containsString="0" containsBlank="1"/>
    </cacheField>
    <cacheField name="KM R$ EMPR" numFmtId="44">
      <sharedItems containsNonDate="0" containsString="0" containsBlank="1"/>
    </cacheField>
    <cacheField name="DT AGENDAMENTO" numFmtId="0">
      <sharedItems containsNonDate="0" containsString="0" containsBlank="1" count="1">
        <m/>
      </sharedItems>
    </cacheField>
    <cacheField name="KM R$ EMPR2" numFmtId="0">
      <sharedItems containsBlank="1"/>
    </cacheField>
    <cacheField name="PAGTO PERITO" numFmtId="0">
      <sharedItems containsDate="1" containsBlank="1" containsMixedTypes="1" minDate="2021-02-22T00:00:00" maxDate="2021-02-23T00:00:00"/>
    </cacheField>
    <cacheField name="PAGTO SEGURADORA" numFmtId="0">
      <sharedItems containsBlank="1"/>
    </cacheField>
    <cacheField name="TIPO DO BEN" numFmtId="0">
      <sharedItems containsBlank="1"/>
    </cacheField>
    <cacheField name="DT LANÇAMENTO" numFmtId="14">
      <sharedItems containsNonDate="0" containsDate="1" containsString="0" containsBlank="1" minDate="2021-02-21T00:00:00" maxDate="2021-02-2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50.690446875" createdVersion="6" refreshedVersion="6" minRefreshableVersion="3" recordCount="3" xr:uid="{B62C7716-6BAC-4E92-9E21-C2BC846F8282}">
  <cacheSource type="worksheet">
    <worksheetSource name="Tabela3"/>
  </cacheSource>
  <cacheFields count="31">
    <cacheField name="DT RECEBIMENTO" numFmtId="14">
      <sharedItems count="1">
        <s v="21/02/2021"/>
      </sharedItems>
    </cacheField>
    <cacheField name="DT VISTORIA" numFmtId="14">
      <sharedItems containsBlank="1" count="3">
        <s v="21/02/2021"/>
        <s v="22/02/2021"/>
        <m/>
      </sharedItems>
    </cacheField>
    <cacheField name="DT ENTREGA " numFmtId="14">
      <sharedItems containsBlank="1"/>
    </cacheField>
    <cacheField name="NF" numFmtId="1">
      <sharedItems containsString="0" containsBlank="1" containsNumber="1" containsInteger="1" minValue="12" maxValue="12"/>
    </cacheField>
    <cacheField name="SINISTRO" numFmtId="1">
      <sharedItems containsSemiMixedTypes="0" containsString="0" containsNumber="1" containsInteger="1" minValue="1" maxValue="125" count="3">
        <n v="1"/>
        <n v="3"/>
        <n v="125"/>
      </sharedItems>
    </cacheField>
    <cacheField name="APÓLICE" numFmtId="1">
      <sharedItems containsSemiMixedTypes="0" containsString="0" containsNumber="1" containsInteger="1" minValue="1" maxValue="125"/>
    </cacheField>
    <cacheField name="PROPOSTA" numFmtId="2">
      <sharedItems containsSemiMixedTypes="0" containsString="0" containsNumber="1" containsInteger="1" minValue="1" maxValue="12"/>
    </cacheField>
    <cacheField name="SEGURADO" numFmtId="0">
      <sharedItems count="3">
        <s v="Pedro"/>
        <s v="José"/>
        <s v="Jose"/>
      </sharedItems>
    </cacheField>
    <cacheField name="OBS:" numFmtId="0">
      <sharedItems containsBlank="1"/>
    </cacheField>
    <cacheField name="MUNICIPIO " numFmtId="0">
      <sharedItems count="2">
        <s v="Toledo"/>
        <s v="Cascavel"/>
      </sharedItems>
    </cacheField>
    <cacheField name="UF" numFmtId="0">
      <sharedItems count="1">
        <s v="PR"/>
      </sharedItems>
    </cacheField>
    <cacheField name="EVENTO" numFmtId="0">
      <sharedItems containsNonDate="0" containsString="0" containsBlank="1"/>
    </cacheField>
    <cacheField name="CULTURA" numFmtId="0">
      <sharedItems/>
    </cacheField>
    <cacheField name="PERITO " numFmtId="0">
      <sharedItems/>
    </cacheField>
    <cacheField name="VISTORIA" numFmtId="0">
      <sharedItems/>
    </cacheField>
    <cacheField name="AREA SEGURADA" numFmtId="2">
      <sharedItems containsSemiMixedTypes="0" containsString="0" containsNumber="1" containsInteger="1" minValue="10" maxValue="50"/>
    </cacheField>
    <cacheField name="AREA VISTORIADA" numFmtId="0">
      <sharedItems containsString="0" containsBlank="1" containsNumber="1" containsInteger="1" minValue="10" maxValue="12"/>
    </cacheField>
    <cacheField name="SEGURADORA" numFmtId="0">
      <sharedItems/>
    </cacheField>
    <cacheField name="HONORÁRIO R$ " numFmtId="0">
      <sharedItems containsString="0" containsBlank="1" containsNumber="1" containsInteger="1" minValue="150" maxValue="150"/>
    </cacheField>
    <cacheField name="KM RODADO PERITO" numFmtId="0">
      <sharedItems containsString="0" containsBlank="1" containsNumber="1" containsInteger="1" minValue="100" maxValue="100"/>
    </cacheField>
    <cacheField name="VALOR KM R$" numFmtId="0">
      <sharedItems containsString="0" containsBlank="1" containsNumber="1" containsInteger="1" minValue="155" maxValue="158"/>
    </cacheField>
    <cacheField name="KM RODADO EMPRESA" numFmtId="0">
      <sharedItems containsString="0" containsBlank="1" containsNumber="1" containsInteger="1" minValue="0" maxValue="0"/>
    </cacheField>
    <cacheField name="KM R$ EMPR" numFmtId="0">
      <sharedItems containsString="0" containsBlank="1" containsNumber="1" containsInteger="1" minValue="0" maxValue="0"/>
    </cacheField>
    <cacheField name="HOTEL" numFmtId="0">
      <sharedItems containsString="0" containsBlank="1" containsNumber="1" containsInteger="1" minValue="0" maxValue="50"/>
    </cacheField>
    <cacheField name="REFEIÇÃO" numFmtId="0">
      <sharedItems containsString="0" containsBlank="1" containsNumber="1" containsInteger="1" minValue="0" maxValue="25"/>
    </cacheField>
    <cacheField name="OUTROS " numFmtId="0">
      <sharedItems containsString="0" containsBlank="1" containsNumber="1" containsInteger="1" minValue="0" maxValue="50"/>
    </cacheField>
    <cacheField name="TOTAL " numFmtId="0">
      <sharedItems containsString="0" containsBlank="1" containsNumber="1" containsInteger="1" minValue="308" maxValue="430"/>
    </cacheField>
    <cacheField name="DT LANÇAMENTO " numFmtId="14">
      <sharedItems/>
    </cacheField>
    <cacheField name="STATUS SEGURADORA" numFmtId="14">
      <sharedItems/>
    </cacheField>
    <cacheField name="STATUS PERITO" numFmtId="44">
      <sharedItems/>
    </cacheField>
    <cacheField name="DT AGENDAMENTO" numFmtId="44">
      <sharedItems containsNonDate="0" containsBlank="1" count="2">
        <m/>
        <s v="Abert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50.691899421297" createdVersion="6" refreshedVersion="6" minRefreshableVersion="3" recordCount="4" xr:uid="{7B502008-5D5A-48CC-8B86-B74337E87696}">
  <cacheSource type="worksheet">
    <worksheetSource name="Tabela7"/>
  </cacheSource>
  <cacheFields count="18">
    <cacheField name="PERITO" numFmtId="0">
      <sharedItems containsBlank="1" count="7">
        <s v="Vinicius Tessele"/>
        <s v="Emerson"/>
        <m u="1"/>
        <s v="Vinicius" u="1"/>
        <s v="Marcilio" u="1"/>
        <s v="Marcos" u="1"/>
        <s v="Cleiton" u="1"/>
      </sharedItems>
    </cacheField>
    <cacheField name="SINISTRO" numFmtId="0">
      <sharedItems containsSemiMixedTypes="0" containsString="0" containsNumber="1" containsInteger="1" minValue="1" maxValue="45" count="5">
        <n v="2"/>
        <n v="4"/>
        <n v="1"/>
        <n v="3"/>
        <n v="45" u="1"/>
      </sharedItems>
    </cacheField>
    <cacheField name="APOLICE" numFmtId="0">
      <sharedItems containsNonDate="0" containsString="0" containsBlank="1" containsNumber="1" containsInteger="1" minValue="3" maxValue="3" count="2">
        <m/>
        <n v="3" u="1"/>
      </sharedItems>
    </cacheField>
    <cacheField name="DT VISTORIA" numFmtId="14">
      <sharedItems containsDate="1" containsMixedTypes="1" minDate="2020-01-01T00:00:00" maxDate="2020-02-03T00:00:00" count="4">
        <s v="21/02/2021"/>
        <s v="22/02/2021"/>
        <d v="2020-01-01T00:00:00" u="1"/>
        <d v="2020-02-02T00:00:00" u="1"/>
      </sharedItems>
    </cacheField>
    <cacheField name="HONORÁRIO R$ " numFmtId="7">
      <sharedItems containsSemiMixedTypes="0" containsString="0" containsNumber="1" minValue="100" maxValue="1710.1" count="7">
        <n v="150"/>
        <n v="100" u="1"/>
        <n v="223" u="1"/>
        <n v="120" u="1"/>
        <n v="602.1" u="1"/>
        <n v="1710.1" u="1"/>
        <n v="600" u="1"/>
      </sharedItems>
    </cacheField>
    <cacheField name="VALOR KM R$" numFmtId="7">
      <sharedItems containsSemiMixedTypes="0" containsString="0" containsNumber="1" containsInteger="1" minValue="11" maxValue="252" count="5">
        <n v="158"/>
        <n v="155"/>
        <n v="11" u="1"/>
        <n v="100" u="1"/>
        <n v="252" u="1"/>
      </sharedItems>
    </cacheField>
    <cacheField name="HOTEL" numFmtId="7">
      <sharedItems containsSemiMixedTypes="0" containsString="0" containsNumber="1" containsInteger="1" minValue="0" maxValue="50" count="4">
        <n v="0"/>
        <n v="50"/>
        <n v="11" u="1"/>
        <n v="4" u="1"/>
      </sharedItems>
    </cacheField>
    <cacheField name="REFEIÇÃO" numFmtId="7">
      <sharedItems containsSemiMixedTypes="0" containsString="0" containsNumber="1" minValue="0" maxValue="1710.1" count="6">
        <n v="0"/>
        <n v="25"/>
        <n v="223" u="1"/>
        <n v="602.1" u="1"/>
        <n v="1710.1" u="1"/>
        <n v="5" u="1"/>
      </sharedItems>
    </cacheField>
    <cacheField name="PEDÁGIO " numFmtId="44">
      <sharedItems containsNonDate="0" containsString="0" containsBlank="1" containsNumber="1" minValue="2" maxValue="1710.1" count="5">
        <m/>
        <n v="223" u="1"/>
        <n v="602.1" u="1"/>
        <n v="1710.1" u="1"/>
        <n v="2" u="1"/>
      </sharedItems>
    </cacheField>
    <cacheField name="PASSAGEM ÁERA" numFmtId="44">
      <sharedItems containsNonDate="0" containsString="0" containsBlank="1" containsNumber="1" containsInteger="1" minValue="8" maxValue="11" count="3">
        <m/>
        <n v="11" u="1"/>
        <n v="8" u="1"/>
      </sharedItems>
    </cacheField>
    <cacheField name="ALUGUEL CARRO " numFmtId="44">
      <sharedItems containsNonDate="0" containsString="0" containsBlank="1" containsNumber="1" minValue="9" maxValue="1710.1" count="5">
        <m/>
        <n v="223" u="1"/>
        <n v="602.1" u="1"/>
        <n v="1710.1" u="1"/>
        <n v="9" u="1"/>
      </sharedItems>
    </cacheField>
    <cacheField name="OUTROS " numFmtId="7">
      <sharedItems containsSemiMixedTypes="0" containsString="0" containsNumber="1" containsInteger="1" minValue="0" maxValue="50" count="4">
        <n v="0"/>
        <n v="50"/>
        <n v="11" u="1"/>
        <n v="6" u="1"/>
      </sharedItems>
    </cacheField>
    <cacheField name=" TOTAL " numFmtId="7">
      <sharedItems containsSemiMixedTypes="0" containsString="0" containsNumber="1" minValue="135" maxValue="1710.1" count="5">
        <n v="308"/>
        <n v="430"/>
        <n v="223" u="1"/>
        <n v="135" u="1"/>
        <n v="1710.1" u="1"/>
      </sharedItems>
    </cacheField>
    <cacheField name="DT LANCAMENTO" numFmtId="14">
      <sharedItems containsSemiMixedTypes="0" containsNonDate="0" containsDate="1" containsString="0" minDate="2021-02-21T00:00:00" maxDate="2021-02-22T00:00:00"/>
    </cacheField>
    <cacheField name="TIPO" numFmtId="0">
      <sharedItems containsBlank="1" count="3">
        <s v="Penhor"/>
        <s v="Pericia"/>
        <m u="1"/>
      </sharedItems>
    </cacheField>
    <cacheField name="STATUS" numFmtId="0">
      <sharedItems containsBlank="1" count="3">
        <s v="Liquidado"/>
        <s v="Aberto"/>
        <m u="1"/>
      </sharedItems>
    </cacheField>
    <cacheField name="DT PAGAMENTO" numFmtId="0">
      <sharedItems containsNonDate="0" containsDate="1" containsString="0" containsBlank="1" minDate="2021-02-21T00:00:00" maxDate="2021-02-23T00:00:00"/>
    </cacheField>
    <cacheField name="SEGURADORA" numFmtId="0">
      <sharedItems containsBlank="1" count="5">
        <s v="BrasilSeg"/>
        <s v="NEWE SEGUROS S.A"/>
        <s v="Bradesco" u="1"/>
        <m u="1"/>
        <s v="Banco do Brasil" u="1"/>
      </sharedItems>
    </cacheField>
  </cacheFields>
  <extLst>
    <ext xmlns:x14="http://schemas.microsoft.com/office/spreadsheetml/2009/9/main" uri="{725AE2AE-9491-48be-B2B4-4EB974FC3084}">
      <x14:pivotCacheDefinition pivotCacheId="14730548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x v="0"/>
    <x v="0"/>
    <x v="0"/>
    <x v="0"/>
    <x v="0"/>
    <x v="0"/>
    <n v="223"/>
    <x v="0"/>
    <x v="0"/>
    <d v="2021-02-07T00:00:00"/>
    <x v="0"/>
    <x v="0"/>
    <x v="0"/>
    <x v="0"/>
  </r>
  <r>
    <x v="1"/>
    <x v="1"/>
    <x v="0"/>
    <x v="1"/>
    <x v="1"/>
    <x v="1"/>
    <x v="1"/>
    <x v="1"/>
    <x v="1"/>
    <x v="1"/>
    <m/>
    <x v="1"/>
    <x v="1"/>
    <d v="2021-02-21T00:00:00"/>
    <x v="0"/>
    <x v="0"/>
    <x v="1"/>
    <x v="0"/>
  </r>
  <r>
    <x v="1"/>
    <x v="2"/>
    <x v="0"/>
    <x v="1"/>
    <x v="1"/>
    <x v="1"/>
    <x v="1"/>
    <x v="1"/>
    <x v="1"/>
    <x v="1"/>
    <m/>
    <x v="1"/>
    <x v="1"/>
    <d v="2021-02-21T00:00:00"/>
    <x v="0"/>
    <x v="0"/>
    <x v="1"/>
    <x v="0"/>
  </r>
  <r>
    <x v="2"/>
    <x v="3"/>
    <x v="0"/>
    <x v="2"/>
    <x v="1"/>
    <x v="2"/>
    <x v="2"/>
    <x v="2"/>
    <x v="1"/>
    <x v="1"/>
    <m/>
    <x v="2"/>
    <x v="2"/>
    <d v="2021-02-21T00:00:00"/>
    <x v="0"/>
    <x v="0"/>
    <x v="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m/>
    <x v="0"/>
    <m/>
    <m/>
    <x v="0"/>
    <x v="0"/>
    <x v="0"/>
    <x v="0"/>
    <s v="Roubo"/>
    <s v="Vinicius Tessele"/>
    <m/>
    <m/>
    <m/>
    <m/>
    <m/>
    <m/>
    <m/>
    <m/>
    <m/>
    <m/>
    <s v="BrasilSeg"/>
    <s v="Aberto"/>
    <s v="Aberto"/>
    <s v="Equipamentos"/>
    <d v="2021-02-22T00:00:00"/>
    <m/>
    <m/>
    <x v="0"/>
    <s v="BrasilSeg"/>
    <s v="Aberto"/>
    <s v="Aberto"/>
    <s v="Maquinas"/>
    <d v="2021-02-21T00:00:00"/>
  </r>
  <r>
    <x v="0"/>
    <m/>
    <x v="1"/>
    <m/>
    <m/>
    <x v="1"/>
    <x v="1"/>
    <x v="0"/>
    <x v="0"/>
    <s v="Roubo"/>
    <s v="Vinicius Tessele"/>
    <m/>
    <m/>
    <m/>
    <m/>
    <m/>
    <m/>
    <m/>
    <m/>
    <m/>
    <m/>
    <s v="BrasilSeg"/>
    <s v="Aberto"/>
    <s v="Aberto"/>
    <s v="Equipamentos"/>
    <d v="2021-02-22T00:00:00"/>
    <m/>
    <m/>
    <x v="0"/>
    <s v="Equipamentos"/>
    <d v="2021-02-22T00:00:00"/>
    <m/>
    <m/>
    <m/>
  </r>
  <r>
    <x v="0"/>
    <m/>
    <x v="1"/>
    <m/>
    <m/>
    <x v="2"/>
    <x v="2"/>
    <x v="0"/>
    <x v="0"/>
    <s v="Roubo"/>
    <s v="Emerson"/>
    <m/>
    <m/>
    <m/>
    <m/>
    <m/>
    <m/>
    <m/>
    <m/>
    <m/>
    <m/>
    <s v="NEWE SEGUROS S.A"/>
    <s v="Aberto"/>
    <s v="Aberto"/>
    <s v="Equipamentos"/>
    <d v="2021-02-22T00:00:00"/>
    <m/>
    <m/>
    <x v="0"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m/>
    <n v="12"/>
    <x v="0"/>
    <n v="1"/>
    <n v="1"/>
    <x v="0"/>
    <s v="teste"/>
    <x v="0"/>
    <x v="0"/>
    <m/>
    <s v="Soja "/>
    <s v="Vinicius Tessele"/>
    <s v="Preliminar"/>
    <n v="12"/>
    <n v="12"/>
    <s v="BrasilSeg"/>
    <n v="150"/>
    <n v="100"/>
    <n v="158"/>
    <n v="0"/>
    <n v="0"/>
    <n v="0"/>
    <n v="0"/>
    <n v="0"/>
    <n v="308"/>
    <s v="21/02/2021"/>
    <s v="Aberto"/>
    <s v="Aberto"/>
    <x v="0"/>
  </r>
  <r>
    <x v="0"/>
    <x v="1"/>
    <s v="25/02/2021"/>
    <n v="12"/>
    <x v="1"/>
    <n v="3"/>
    <n v="1"/>
    <x v="1"/>
    <s v="teste"/>
    <x v="1"/>
    <x v="0"/>
    <m/>
    <s v="Soja "/>
    <s v="Emerson"/>
    <s v="Preliminar/Final"/>
    <n v="10"/>
    <n v="10"/>
    <s v="NEWE SEGUROS S.A"/>
    <n v="150"/>
    <n v="100"/>
    <n v="155"/>
    <n v="0"/>
    <n v="0"/>
    <n v="50"/>
    <n v="25"/>
    <n v="50"/>
    <n v="430"/>
    <s v="21/02/2021"/>
    <s v="Aberto"/>
    <s v="Aberto"/>
    <x v="0"/>
  </r>
  <r>
    <x v="0"/>
    <x v="2"/>
    <m/>
    <m/>
    <x v="2"/>
    <n v="125"/>
    <n v="12"/>
    <x v="2"/>
    <m/>
    <x v="1"/>
    <x v="0"/>
    <m/>
    <s v="Soja "/>
    <s v="Vinicius Tessele"/>
    <s v="Preliminar"/>
    <n v="50"/>
    <m/>
    <s v="BrasilSeg"/>
    <m/>
    <m/>
    <m/>
    <m/>
    <m/>
    <m/>
    <m/>
    <m/>
    <m/>
    <s v="22/02/2021"/>
    <s v="Aberto"/>
    <s v="Aberto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x v="0"/>
    <x v="0"/>
    <x v="0"/>
    <x v="0"/>
    <x v="0"/>
    <x v="0"/>
    <x v="0"/>
    <x v="0"/>
    <x v="0"/>
    <d v="2021-02-21T00:00:00"/>
    <x v="0"/>
    <x v="0"/>
    <d v="2021-02-21T00:00:00"/>
    <x v="0"/>
  </r>
  <r>
    <x v="0"/>
    <x v="1"/>
    <x v="0"/>
    <x v="0"/>
    <x v="0"/>
    <x v="0"/>
    <x v="0"/>
    <x v="0"/>
    <x v="0"/>
    <x v="0"/>
    <x v="0"/>
    <x v="0"/>
    <x v="0"/>
    <d v="2021-02-21T00:00:00"/>
    <x v="0"/>
    <x v="1"/>
    <m/>
    <x v="0"/>
  </r>
  <r>
    <x v="0"/>
    <x v="2"/>
    <x v="0"/>
    <x v="0"/>
    <x v="0"/>
    <x v="0"/>
    <x v="0"/>
    <x v="0"/>
    <x v="0"/>
    <x v="0"/>
    <x v="0"/>
    <x v="0"/>
    <x v="0"/>
    <d v="2021-02-21T00:00:00"/>
    <x v="0"/>
    <x v="1"/>
    <m/>
    <x v="0"/>
  </r>
  <r>
    <x v="1"/>
    <x v="3"/>
    <x v="0"/>
    <x v="1"/>
    <x v="0"/>
    <x v="1"/>
    <x v="1"/>
    <x v="1"/>
    <x v="0"/>
    <x v="0"/>
    <x v="0"/>
    <x v="1"/>
    <x v="1"/>
    <d v="2021-02-21T00:00:00"/>
    <x v="1"/>
    <x v="0"/>
    <d v="2021-02-22T00:00: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6E5F74-2DF7-4C83-9021-F01F157A7A7A}" name="Tabela dinâmica5" cacheId="7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I6:O7" firstHeaderRow="1" firstDataRow="1" firstDataCol="7"/>
  <pivotFields count="31">
    <pivotField axis="axisRow" compact="0" outline="0" showAll="0" sortType="ascending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h="1" x="0"/>
        <item h="1"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4"/>
    <field x="7"/>
    <field x="9"/>
    <field x="10"/>
    <field x="1"/>
    <field x="30"/>
  </rowFields>
  <rowItems count="1">
    <i>
      <x/>
      <x v="2"/>
      <x/>
      <x/>
      <x/>
      <x v="2"/>
      <x v="1"/>
    </i>
  </rowItem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64526-8BFE-458F-A440-8D12A802F906}" name="Tabela dinâmica4" cacheId="62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6:G9" firstHeaderRow="1" firstDataRow="1" firstDataCol="7"/>
  <pivotFields count="34">
    <pivotField axis="axisRow" compact="0" numFmtId="14" outline="0" showAll="0" sortType="ascending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5"/>
    <field x="6"/>
    <field x="7"/>
    <field x="8"/>
    <field x="2"/>
    <field x="28"/>
  </rowFields>
  <rowItems count="3">
    <i>
      <x/>
      <x/>
      <x v="2"/>
      <x/>
      <x/>
      <x v="1"/>
      <x/>
    </i>
    <i r="1">
      <x v="1"/>
      <x v="1"/>
      <x/>
      <x/>
      <x/>
      <x/>
    </i>
    <i r="1">
      <x v="2"/>
      <x/>
      <x/>
      <x/>
      <x/>
      <x/>
    </i>
  </rowItem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EEF324-FBB6-412B-80A0-A89E290A4FBC}" name="Tabela dinâmica1" cacheId="89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2:P6" firstHeaderRow="1" firstDataRow="1" firstDataCol="16"/>
  <pivotFields count="18">
    <pivotField axis="axisRow" compact="0" outline="0" showAll="0" defaultSubtotal="0">
      <items count="7">
        <item m="1" x="6"/>
        <item m="1" x="4"/>
        <item m="1" x="5"/>
        <item m="1" x="3"/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m="1" x="4"/>
        <item x="0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1"/>
        <item m="1" x="3"/>
        <item m="1" x="2"/>
        <item m="1" x="6"/>
        <item m="1" x="4"/>
        <item m="1"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2"/>
        <item m="1" x="3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m="1" x="2"/>
        <item m="1" x="3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4"/>
        <item m="1" x="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4"/>
        <item m="1" x="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m="1" x="2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4"/>
        <item m="1" x="2"/>
        <item m="1"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6">
    <field x="0"/>
    <field x="11"/>
    <field x="10"/>
    <field x="1"/>
    <field x="2"/>
    <field x="3"/>
    <field x="4"/>
    <field x="5"/>
    <field x="6"/>
    <field x="7"/>
    <field x="8"/>
    <field x="9"/>
    <field x="12"/>
    <field x="14"/>
    <field x="15"/>
    <field x="17"/>
  </rowFields>
  <rowItems count="4">
    <i>
      <x v="5"/>
      <x v="2"/>
      <x v="4"/>
      <x/>
      <x v="1"/>
      <x v="2"/>
      <x v="6"/>
      <x v="3"/>
      <x v="2"/>
      <x v="4"/>
      <x v="4"/>
      <x v="2"/>
      <x v="3"/>
      <x/>
      <x/>
      <x v="3"/>
    </i>
    <i r="3">
      <x v="2"/>
      <x v="1"/>
      <x v="2"/>
      <x v="6"/>
      <x v="3"/>
      <x v="2"/>
      <x v="4"/>
      <x v="4"/>
      <x v="2"/>
      <x v="3"/>
      <x/>
      <x v="1"/>
      <x v="3"/>
    </i>
    <i r="3">
      <x v="3"/>
      <x v="1"/>
      <x v="2"/>
      <x v="6"/>
      <x v="3"/>
      <x v="2"/>
      <x v="4"/>
      <x v="4"/>
      <x v="2"/>
      <x v="3"/>
      <x/>
      <x/>
      <x v="3"/>
    </i>
    <i>
      <x v="6"/>
      <x v="3"/>
      <x v="4"/>
      <x v="4"/>
      <x v="1"/>
      <x v="3"/>
      <x v="6"/>
      <x v="4"/>
      <x v="3"/>
      <x v="5"/>
      <x v="4"/>
      <x v="2"/>
      <x v="4"/>
      <x v="1"/>
      <x v="1"/>
      <x v="4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95FB94-5C65-4E95-BB7B-35E23052679F}" name="Tabela dinâmica2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2:P6" firstHeaderRow="1" firstDataRow="1" firstDataCol="16"/>
  <pivotFields count="18">
    <pivotField axis="axisRow" compact="0" outline="0" showAll="0" defaultSubtotal="0">
      <items count="4">
        <item x="0"/>
        <item m="1"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m="1" x="5"/>
        <item m="1" x="4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5">
        <item x="0"/>
        <item m="1" x="4"/>
        <item m="1"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m="1" x="4"/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x="0"/>
        <item m="1" x="4"/>
        <item m="1"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4"/>
        <item x="0"/>
        <item m="1" x="5"/>
        <item m="1"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4"/>
        <item m="1" x="3"/>
        <item x="0"/>
        <item m="1" x="5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2"/>
        <item m="1" x="4"/>
        <item x="0"/>
        <item m="1"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x="0"/>
        <item m="1"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x="0"/>
        <item m="1" x="4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x="0"/>
        <item m="1" x="4"/>
        <item m="1"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6">
    <field x="0"/>
    <field x="1"/>
    <field x="2"/>
    <field x="3"/>
    <field x="4"/>
    <field x="5"/>
    <field x="6"/>
    <field x="7"/>
    <field x="8"/>
    <field x="9"/>
    <field x="11"/>
    <field x="12"/>
    <field x="14"/>
    <field x="15"/>
    <field x="16"/>
    <field x="17"/>
  </rowFields>
  <rowItems count="4">
    <i>
      <x/>
      <x/>
      <x/>
      <x/>
      <x v="3"/>
      <x v="1"/>
      <x v="1"/>
      <x v="2"/>
      <x v="2"/>
      <x v="1"/>
      <x v="1"/>
      <x v="1"/>
      <x/>
      <x/>
      <x/>
      <x v="1"/>
    </i>
    <i>
      <x v="2"/>
      <x v="3"/>
      <x/>
      <x v="3"/>
      <x v="4"/>
      <x v="4"/>
      <x v="4"/>
      <x v="4"/>
      <x v="4"/>
      <x v="3"/>
      <x v="3"/>
      <x v="4"/>
      <x/>
      <x/>
      <x v="2"/>
      <x v="1"/>
    </i>
    <i r="1">
      <x v="4"/>
      <x/>
      <x v="3"/>
      <x v="4"/>
      <x v="4"/>
      <x v="4"/>
      <x v="4"/>
      <x v="4"/>
      <x v="3"/>
      <x v="3"/>
      <x v="4"/>
      <x/>
      <x/>
      <x v="2"/>
      <x v="1"/>
    </i>
    <i>
      <x v="3"/>
      <x v="5"/>
      <x/>
      <x v="4"/>
      <x v="4"/>
      <x v="5"/>
      <x v="5"/>
      <x v="5"/>
      <x v="4"/>
      <x v="3"/>
      <x v="4"/>
      <x v="5"/>
      <x/>
      <x/>
      <x v="2"/>
      <x v="2"/>
    </i>
  </rowItems>
  <colItems count="1">
    <i/>
  </colItem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" xr10:uid="{84CEEEAC-D7E9-4931-B670-3BA8D823017A}" sourceName="PERITO">
  <pivotTables>
    <pivotTable tabId="23" name="Tabela dinâmica2"/>
  </pivotTables>
  <data>
    <tabular pivotCacheId="277365764">
      <items count="4">
        <i x="2" s="1"/>
        <i x="0" s="1"/>
        <i x="1" s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641CC106-4B73-4A2D-9D20-E3C4993F616E}" sourceName="TIPO">
  <pivotTables>
    <pivotTable tabId="23" name="Tabela dinâmica2"/>
  </pivotTables>
  <data>
    <tabular pivotCacheId="277365764">
      <items count="2">
        <i x="0" s="1"/>
        <i x="1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58C86F98-0335-416D-867A-1AD152087CB4}" sourceName="STATUS">
  <pivotTables>
    <pivotTable tabId="23" name="Tabela dinâmica2"/>
  </pivotTables>
  <data>
    <tabular pivotCacheId="277365764">
      <items count="2">
        <i x="0" s="1"/>
        <i x="1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" xr10:uid="{B6725917-E0BA-4A9D-A3A7-B9AA836ABB8B}" sourceName="SEGURADORA">
  <pivotTables>
    <pivotTable tabId="23" name="Tabela dinâmica2"/>
  </pivotTables>
  <data>
    <tabular pivotCacheId="277365764">
      <items count="3">
        <i x="0" s="1"/>
        <i x="1" s="1"/>
        <i x="2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1" xr10:uid="{E17B6F16-4F3E-46AF-A00B-74ACD1C9D982}" sourceName="PERITO">
  <pivotTables>
    <pivotTable tabId="24" name="Tabela dinâmica1"/>
  </pivotTables>
  <data>
    <tabular pivotCacheId="1473054865">
      <items count="7">
        <i x="1" s="1"/>
        <i x="0" s="1"/>
        <i x="6" s="1" nd="1"/>
        <i x="4" s="1" nd="1"/>
        <i x="5" s="1" nd="1"/>
        <i x="3" s="1" nd="1"/>
        <i x="2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1" xr10:uid="{91236671-A4A4-4EBF-91DC-F6475FCBBA53}" sourceName="SEGURADORA">
  <pivotTables>
    <pivotTable tabId="24" name="Tabela dinâmica1"/>
  </pivotTables>
  <data>
    <tabular pivotCacheId="1473054865">
      <items count="5">
        <i x="0" s="1"/>
        <i x="1" s="1"/>
        <i x="4" s="1" nd="1"/>
        <i x="2" s="1" nd="1"/>
        <i x="3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" xr10:uid="{786B7521-224E-4381-AD44-0A2A22AE7725}" sourceName="TIPO">
  <pivotTables>
    <pivotTable tabId="24" name="Tabela dinâmica1"/>
  </pivotTables>
  <data>
    <tabular pivotCacheId="1473054865">
      <items count="3">
        <i x="0" s="1"/>
        <i x="1" s="1"/>
        <i x="2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29B06F0F-27F2-40B5-96EF-5C7E837E308E}" sourceName="STATUS">
  <pivotTables>
    <pivotTable tabId="24" name="Tabela dinâmica1"/>
  </pivotTables>
  <data>
    <tabular pivotCacheId="1473054865">
      <items count="3">
        <i x="1" s="1"/>
        <i x="0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1" xr10:uid="{1F256F19-4127-491D-9CD2-860736A2E673}" cache="SegmentaçãodeDados_PERITO" caption="PERITO" style="SlicerStyleLight6" rowHeight="241300"/>
  <slicer name="TIPO 1" xr10:uid="{9D3AF4F8-5F0C-4707-A2B7-2FA4D918BEE9}" cache="SegmentaçãodeDados_TIPO" caption="TIPO" style="SlicerStyleLight6" rowHeight="241300"/>
  <slicer name="STATUS 1" xr10:uid="{01CFA610-A685-482C-A732-346E4D01196A}" cache="SegmentaçãodeDados_STATUS" caption="STATUS" style="SlicerStyleLight6" rowHeight="241300"/>
  <slicer name="SEGURADORA 1" xr10:uid="{F777D9EB-E92A-48E3-85D1-BE9CAC01560A}" cache="SegmentaçãodeDados_SEGURADORA" caption="SEGURADORA" style="SlicerStyleLight6" rowHeight="241300"/>
  <slicer name="PERITO 3" xr10:uid="{E75017A2-69E2-4ACB-A8B6-CC9C94FCB2E7}" cache="SegmentaçãodeDados_PERITO1" caption="PERITO" style="SlicerStyleLight6" rowHeight="241300"/>
  <slicer name="SEGURADORA 3" xr10:uid="{201E2C9C-8E46-4897-9722-710DB67A85EB}" cache="SegmentaçãodeDados_SEGURADORA1" caption="SEGURADORA" style="SlicerStyleLight6" rowHeight="241300"/>
  <slicer name="TIPO 3" xr10:uid="{58F27676-E31D-483E-A396-94836B97769A}" cache="SegmentaçãodeDados_TIPO1" caption="TIPO" style="SlicerStyleLight6" rowHeight="241300"/>
  <slicer name="STATUS 3" xr10:uid="{154761C7-6222-489B-B223-851579B36474}" cache="SegmentaçãodeDados_STATUS1" caption="STATUS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" xr10:uid="{3EBC01E8-439D-434E-8064-7246F64D3D5B}" cache="SegmentaçãodeDados_PERITO" caption="PERITO" style="SlicerStyleLight6" rowHeight="241300"/>
  <slicer name="TIPO" xr10:uid="{8E119607-6B7F-4FC8-B075-3CBE0FCF128D}" cache="SegmentaçãodeDados_TIPO" caption="TIPO" style="SlicerStyleLight6" rowHeight="241300"/>
  <slicer name="STATUS" xr10:uid="{8BA83158-8E79-4FDF-9D07-8B57432028F7}" cache="SegmentaçãodeDados_STATUS" caption="STATUS" style="SlicerStyleLight6" rowHeight="241300"/>
  <slicer name="SEGURADORA" xr10:uid="{3A73EEF1-378F-4A0B-AC67-1D18FD4336DF}" cache="SegmentaçãodeDados_SEGURADORA" caption="SEGURADORA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497B67-5325-4216-AB11-09D959A60883}" name="Tabela7" displayName="Tabela7" ref="A1:R5" totalsRowShown="0" headerRowDxfId="53" headerRowBorderDxfId="52" tableBorderDxfId="51" headerRowCellStyle="Moeda">
  <tableColumns count="18">
    <tableColumn id="13" xr3:uid="{F74C8623-8076-44D0-B9B8-08ED10D13BD4}" name="PERITO"/>
    <tableColumn id="14" xr3:uid="{FEB420A7-F895-482C-A222-A0AB2C2F00DB}" name="SINISTRO"/>
    <tableColumn id="15" xr3:uid="{5B10F8F1-2CED-452D-9555-056C8E5648E5}" name="APOLICE"/>
    <tableColumn id="16" xr3:uid="{25E0D8B7-B42B-432D-8E1F-DCA9F68E3434}" name="DT VISTORIA" dataDxfId="50"/>
    <tableColumn id="1" xr3:uid="{77AE40CE-3180-4CA9-AF9A-E8E268E57070}" name="HONORÁRIO R$ " dataDxfId="49" dataCellStyle="Moeda"/>
    <tableColumn id="2" xr3:uid="{6F9E0BA6-9BFB-48EC-81A9-18A0C396E8C9}" name="VALOR KM R$" dataDxfId="48" dataCellStyle="Moeda"/>
    <tableColumn id="3" xr3:uid="{EFD808ED-DC52-4A8B-8292-EEE34A3916AF}" name="HOTEL" dataDxfId="47" dataCellStyle="Moeda"/>
    <tableColumn id="4" xr3:uid="{BFA1101A-73FE-46DC-B3F1-F20D674333D9}" name="REFEIÇÃO" dataDxfId="46" dataCellStyle="Moeda"/>
    <tableColumn id="5" xr3:uid="{2AB446A3-0EB9-4068-9FF5-68786833A420}" name="PEDÁGIO " dataDxfId="45" dataCellStyle="Moeda"/>
    <tableColumn id="6" xr3:uid="{7C7FA53D-199C-4600-B839-1C253EB0843B}" name="PASSAGEM ÁERA" dataDxfId="44" dataCellStyle="Moeda"/>
    <tableColumn id="7" xr3:uid="{5487AAEC-0686-4909-95E7-E3F065BAE407}" name="ALUGUEL CARRO " dataDxfId="43" dataCellStyle="Moeda"/>
    <tableColumn id="8" xr3:uid="{6E97A9B3-7F8F-4AD1-A51A-8D0518668E1F}" name="OUTROS " dataDxfId="42" dataCellStyle="Moeda"/>
    <tableColumn id="9" xr3:uid="{345BE897-50CE-4CAF-9542-ACF3BDCA9A38}" name=" TOTAL " dataDxfId="41" dataCellStyle="Moeda"/>
    <tableColumn id="10" xr3:uid="{C5ADE4FF-938E-41F2-9268-65D68FC97B10}" name="DT LANCAMENTO" dataDxfId="40"/>
    <tableColumn id="12" xr3:uid="{A3ED7FB8-6AA1-4C65-A1EA-9870CFFBC01E}" name="TIPO"/>
    <tableColumn id="17" xr3:uid="{47B97EE1-5E2D-4A1E-8AE4-CC486971C9D6}" name="STATUS"/>
    <tableColumn id="18" xr3:uid="{E2170128-B19B-4A43-A55A-1E6B0E593B16}" name="DT PAGAMENTO"/>
    <tableColumn id="11" xr3:uid="{19D6B03F-F2D1-4BC3-9A94-5BF15175FF87}" name="SEGURADORA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7E3572-CDCE-436B-8140-15A1DAB15045}" name="Tabela4" displayName="Tabela4" ref="A1:AH4" totalsRowShown="0" headerRowDxfId="39" headerRowBorderDxfId="38">
  <tableColumns count="34">
    <tableColumn id="1" xr3:uid="{4CEAFE11-4BD7-40FD-A919-BB52A3784B3A}" name="DT RECEBIMENTO" dataDxfId="37"/>
    <tableColumn id="2" xr3:uid="{8D491FBA-8D6E-4D68-9169-C6C807F705B7}" name="NF"/>
    <tableColumn id="3" xr3:uid="{894BE3F1-C62B-4DDF-B040-E03CA1F61E2E}" name="DT VISTORIA " dataDxfId="36"/>
    <tableColumn id="4" xr3:uid="{3A5AA30B-7316-4054-B0A5-D3050BE0A17C}" name="DT REVISTORIA" dataDxfId="35"/>
    <tableColumn id="5" xr3:uid="{5762346C-BDE6-44E8-817C-91E54D27767E}" name="APÓLICE "/>
    <tableColumn id="24" xr3:uid="{A430FF16-32B9-4825-820C-70015B1C820E}" name="SINISTRO" dataDxfId="34"/>
    <tableColumn id="6" xr3:uid="{1A60546F-FB43-46BD-B179-C75C28C7C994}" name="SEGURADO"/>
    <tableColumn id="7" xr3:uid="{06FB21F9-D567-4FEB-B23F-94CC67035500}" name="MUNICIPIO "/>
    <tableColumn id="8" xr3:uid="{F52919A1-EC7D-458F-BDD0-083E74A6B0AB}" name="UF"/>
    <tableColumn id="9" xr3:uid="{EAE99911-BF1E-458E-9B33-B85C6940677D}" name="NATUREZA DO SINISTRO"/>
    <tableColumn id="10" xr3:uid="{720F5E41-5E43-4BE6-9C8F-BE1DF20942E9}" name="PERITO "/>
    <tableColumn id="11" xr3:uid="{3A77C621-1E1E-4B9A-BEDE-3E88B249740D}" name=" HONORÁRIO R$  " dataCellStyle="Moeda"/>
    <tableColumn id="12" xr3:uid="{139A6F62-71D3-483A-A7EF-CF22C069C905}" name="KM  "/>
    <tableColumn id="26" xr3:uid="{AEF5FE02-1FBD-4AF4-8633-C7E0C9E0B4A0}" name="KM R$" dataDxfId="33" dataCellStyle="Moeda"/>
    <tableColumn id="13" xr3:uid="{0FA3E433-9437-4ADE-B92A-336606AA0BFA}" name="PEDÁGIO " dataCellStyle="Moeda"/>
    <tableColumn id="14" xr3:uid="{78FF7EDB-582E-42FD-9799-DD4D37C1C0BE}" name="HOTEL " dataCellStyle="Moeda"/>
    <tableColumn id="15" xr3:uid="{B33CE678-346F-49DF-BDA4-44C123CB1EF8}" name="REFEIÇÃO " dataCellStyle="Moeda"/>
    <tableColumn id="16" xr3:uid="{7E3D7E2A-6E12-4FB3-9C91-02FE40C27F4D}" name="PASSAGEM ÁERA" dataCellStyle="Moeda"/>
    <tableColumn id="17" xr3:uid="{AFEBA063-285D-4E1F-BD7C-E0BB8AA9BFC3}" name="ALUGUEL CARRO " dataCellStyle="Moeda"/>
    <tableColumn id="18" xr3:uid="{80376310-22C8-4669-BBCC-9445A8931644}" name="OUTROS " dataCellStyle="Moeda"/>
    <tableColumn id="25" xr3:uid="{4338F209-0C34-4043-B3EF-73F4C9A9DD65}" name="TOTAL  " dataDxfId="32" dataCellStyle="Moeda"/>
    <tableColumn id="29" xr3:uid="{E0CE4C5D-9BCC-47F6-A2E2-F49599CE0090}" name="SEGURADORA" dataDxfId="31" dataCellStyle="Moeda"/>
    <tableColumn id="33" xr3:uid="{F8322728-BB10-40FA-8AB8-DAF0301387D8}" name="STATUS SEGURADORA"/>
    <tableColumn id="32" xr3:uid="{3C189627-5587-4747-A956-BF68E01F2C6F}" name="STATUS PERITO"/>
    <tableColumn id="35" xr3:uid="{6770BC5D-821D-4022-9E02-51C0CF6AF282}" name="TIPO DO BEM"/>
    <tableColumn id="34" xr3:uid="{1C80A2A2-BE52-4BB6-8774-903C65676CB5}" name="DT LANÇAMENTO "/>
    <tableColumn id="28" xr3:uid="{E07BC76D-0CFE-49DF-8CA9-85BBECE75005}" name="KM RODADO EMPRESA" dataDxfId="30" dataCellStyle="Moeda"/>
    <tableColumn id="30" xr3:uid="{30F79F53-5CD6-4EB9-94EF-A05E8F2343B6}" name="KM R$ EMPR" dataDxfId="1" dataCellStyle="Moeda"/>
    <tableColumn id="19" xr3:uid="{6606E2F6-6FBE-42AD-B08C-73D5D56070BC}" name="DT AGENDAMENTO" dataCellStyle="Moeda"/>
    <tableColumn id="20" xr3:uid="{11BA40E0-957A-4794-828F-30F9B20B83E4}" name="KM R$ EMPR2"/>
    <tableColumn id="27" xr3:uid="{B45D1A5B-3BB4-407A-A498-4AA20B08769B}" name="PAGTO PERITO" dataDxfId="29" dataCellStyle="Moeda"/>
    <tableColumn id="21" xr3:uid="{4273EAC1-1CAD-48A7-A120-34A13D31A6F5}" name="PAGTO SEGURADORA"/>
    <tableColumn id="22" xr3:uid="{174913DF-BEA1-407D-A724-986E2234D72A}" name="TIPO DO BEN"/>
    <tableColumn id="23" xr3:uid="{FD9D0B3E-2831-4683-9A45-A840DB5EA861}" name="DT LANÇAMENTO" dataDxfId="2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52D81-90B1-46A3-A17D-5617AC725009}" name="Tabela3" displayName="Tabela3" ref="A1:AE4" totalsRowShown="0" headerRowDxfId="27" headerRowBorderDxfId="26">
  <tableColumns count="31">
    <tableColumn id="1" xr3:uid="{01FEB0E5-52BE-4347-BF57-CD16D27B937B}" name="DT RECEBIMENTO" dataDxfId="25"/>
    <tableColumn id="2" xr3:uid="{42D256E5-7905-43C7-B146-BAE1FF4F13EA}" name="DT VISTORIA" dataDxfId="24"/>
    <tableColumn id="3" xr3:uid="{BCCE59B5-8188-4C7C-95C2-715E226A28AA}" name="DT ENTREGA " dataDxfId="23"/>
    <tableColumn id="4" xr3:uid="{DD2FFDF0-7DCD-40B2-BE5B-713ED98D0855}" name="NF" dataDxfId="22"/>
    <tableColumn id="5" xr3:uid="{71C6BD3C-6436-486E-BD85-7935791CB966}" name="SINISTRO" dataDxfId="21"/>
    <tableColumn id="6" xr3:uid="{D289DEB5-E97A-4D43-B4F7-902CC070659C}" name="APÓLICE" dataDxfId="20"/>
    <tableColumn id="7" xr3:uid="{06DE9BC2-A40D-4D00-BB45-8E4F7789BE84}" name="PROPOSTA" dataDxfId="19"/>
    <tableColumn id="8" xr3:uid="{938EE5F6-C4CC-47A2-9716-BA14675A1CC0}" name="SEGURADO"/>
    <tableColumn id="9" xr3:uid="{D988F2E0-5D14-403F-819E-52EE981BC7FA}" name="OBS:"/>
    <tableColumn id="10" xr3:uid="{659F1C80-4C76-438C-8F31-6EEC136904EB}" name="MUNICIPIO "/>
    <tableColumn id="11" xr3:uid="{9196166A-5194-4CF9-9613-FDC45C0D52EA}" name="UF" dataDxfId="18"/>
    <tableColumn id="12" xr3:uid="{21394EE4-1694-4250-9E61-5F41B640ECB1}" name="EVENTO"/>
    <tableColumn id="13" xr3:uid="{DD18FA28-11C2-476F-9046-202678EF194C}" name="CULTURA"/>
    <tableColumn id="14" xr3:uid="{7248674C-5344-4C0C-B985-34FFF3D5C2F3}" name="PERITO "/>
    <tableColumn id="15" xr3:uid="{4ED99905-9E0E-4E43-9CAE-6696B1D88A06}" name="VISTORIA"/>
    <tableColumn id="16" xr3:uid="{E2ACA318-59D9-43A6-9327-66E1FCA97A60}" name="AREA SEGURADA" dataDxfId="17"/>
    <tableColumn id="17" xr3:uid="{EE10B1C6-6DEE-4AD7-9D78-EC246389C2FB}" name="AREA VISTORIADA" dataDxfId="16"/>
    <tableColumn id="18" xr3:uid="{5ABE2B95-8B65-4067-B07B-961E86DF955C}" name="SEGURADORA"/>
    <tableColumn id="19" xr3:uid="{D6D440C8-50F6-4EC7-BDE9-2DF3AA5771DF}" name="HONORÁRIO R$ " dataCellStyle="Moeda"/>
    <tableColumn id="20" xr3:uid="{4AD21308-937E-4761-BA5D-93DFD5876314}" name="KM RODADO PERITO"/>
    <tableColumn id="21" xr3:uid="{81790E5F-9A10-4C4F-A097-2651C71B4AB6}" name="VALOR KM R$" dataCellStyle="Moeda"/>
    <tableColumn id="22" xr3:uid="{D7762BF3-0B74-4974-8BBE-59556FD6DA92}" name="KM RODADO EMPRESA"/>
    <tableColumn id="23" xr3:uid="{57C0BB09-FF91-456C-B393-28ABAD52D8D9}" name="KM R$ EMPR" dataCellStyle="Moeda"/>
    <tableColumn id="24" xr3:uid="{9C301590-1AAD-4F79-B66A-A6728FFFD7FC}" name="HOTEL" dataCellStyle="Moeda"/>
    <tableColumn id="25" xr3:uid="{0B99CFC5-E242-496D-9958-804F0D1B521E}" name="REFEIÇÃO" dataCellStyle="Moeda"/>
    <tableColumn id="26" xr3:uid="{2F92F6FA-422E-4D4B-BB4E-BA386F7AF1C0}" name="OUTROS " dataCellStyle="Moeda"/>
    <tableColumn id="27" xr3:uid="{84553A7A-42D0-4471-AD1E-1A3BF4FEB1AD}" name="TOTAL " dataCellStyle="Moeda"/>
    <tableColumn id="28" xr3:uid="{ED67970F-F0E5-46C6-98D9-1A7C91354E1F}" name="DT LANÇAMENTO " dataDxfId="15"/>
    <tableColumn id="30" xr3:uid="{E0E6AE81-E915-44EC-9FD2-4A51D8BDBF5F}" name="STATUS SEGURADORA" dataDxfId="14" dataCellStyle="Moeda"/>
    <tableColumn id="31" xr3:uid="{59C15FF4-94BE-4937-A73B-D88AD2E6EEAE}" name="STATUS PERITO" dataDxfId="0" dataCellStyle="Moeda"/>
    <tableColumn id="29" xr3:uid="{9ADDC96C-C7C9-4998-B013-EAD28F652506}" name="DT AGENDAMENTO" dataCellStyle="Moeda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F42A54-91A1-4A35-ACA3-8D3E40ABBDEB}" name="Tabela8" displayName="Tabela8" ref="A1:R5" totalsRowShown="0" headerRowDxfId="13" headerRowBorderDxfId="12" headerRowCellStyle="Moeda">
  <tableColumns count="18">
    <tableColumn id="1" xr3:uid="{58109129-6CDA-476E-905E-F84811823968}" name="PERITO"/>
    <tableColumn id="2" xr3:uid="{9759B7CE-23BC-42AD-8596-E44D7418F34A}" name="SINISTRO"/>
    <tableColumn id="3" xr3:uid="{CC0BBBA2-7695-4EE8-8E4C-D6E72DFE3D5D}" name="APOLICE"/>
    <tableColumn id="4" xr3:uid="{ABCB0DBF-49E3-45D8-BBDE-F2CDD05F192E}" name="DT VISTORIA" dataDxfId="11"/>
    <tableColumn id="5" xr3:uid="{FC594FDD-E27C-412B-BCBC-53D7FF856FF3}" name=" HONORÁRIO R$ " dataCellStyle="Moeda"/>
    <tableColumn id="6" xr3:uid="{CE20EE4A-66EF-49C9-8277-0F91D4EAE8A0}" name="VALOR KM R$" dataCellStyle="Moeda"/>
    <tableColumn id="7" xr3:uid="{5DDDE08F-D634-4BC9-9259-00A68BBAA7A0}" name="HOTEL" dataCellStyle="Moeda"/>
    <tableColumn id="8" xr3:uid="{3303D9EF-E342-45CF-8457-EB7BFC724009}" name="REFEIÇÃO" dataCellStyle="Moeda"/>
    <tableColumn id="9" xr3:uid="{C7166C86-DE25-480F-BF56-18061E37717C}" name=" PEDÁGIO " dataCellStyle="Moeda"/>
    <tableColumn id="10" xr3:uid="{79AD7756-F982-40B3-A840-1D887EDE4D08}" name="PASSAGEM ÁERA" dataCellStyle="Moeda"/>
    <tableColumn id="11" xr3:uid="{763DF7A8-12FD-414C-A335-DD672F61971C}" name="ALUGUEL CARRO" dataCellStyle="Moeda"/>
    <tableColumn id="12" xr3:uid="{D92A590C-1934-4CF3-9A88-FDA9781B8EC9}" name="OUTROS " dataCellStyle="Moeda"/>
    <tableColumn id="13" xr3:uid="{3ED0E5F1-62E9-4527-B42C-2B2CF57B6AD4}" name=" TOTAL " dataCellStyle="Moeda"/>
    <tableColumn id="14" xr3:uid="{2EB34EF3-4C41-4099-9921-DB8E920647FC}" name="DT LANCAMENTO" dataDxfId="10"/>
    <tableColumn id="15" xr3:uid="{29BF7AB3-FE61-4EC2-B318-038A9A4DD5DC}" name="TIPO"/>
    <tableColumn id="18" xr3:uid="{90FC8B6A-9504-4386-8326-C2CE852CD25D}" name="STATUS"/>
    <tableColumn id="17" xr3:uid="{D0907E2A-DC54-48A0-99F7-D6729CE060FA}" name="DT RECEBIMENTO" dataDxfId="9"/>
    <tableColumn id="16" xr3:uid="{05E773C7-4F15-422B-8F54-364EAE748468}" name="SEGURADORA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243E8-A3D1-44AF-85B6-7570184EAF1E}" name="Tabela6" displayName="Tabela6" ref="A1:F3" totalsRowShown="0" headerRowDxfId="8" headerRowBorderDxfId="7" dataCellStyle="Moeda">
  <autoFilter ref="A1:F3" xr:uid="{E0128D07-B018-4091-9CB3-BD39DDA972C1}"/>
  <tableColumns count="6">
    <tableColumn id="1" xr3:uid="{93640D5B-39C9-4EE3-9C9C-88CB4813A0DE}" name="CNPJ"/>
    <tableColumn id="2" xr3:uid="{ECABB9F3-3A2D-466F-A1D1-8345C75306F8}" name="NOME"/>
    <tableColumn id="3" xr3:uid="{0354E08F-99E4-4602-A856-87F2606D5542}" name="ENDEREÇO"/>
    <tableColumn id="4" xr3:uid="{791EB34D-33AD-4D81-9993-B97ED301BA3B}" name="KM R$" dataDxfId="6" dataCellStyle="Moeda"/>
    <tableColumn id="5" xr3:uid="{605420F8-6CFD-43FC-98CD-F68974D03019}" name="REFEIÇÃO R$" dataDxfId="5" dataCellStyle="Moeda"/>
    <tableColumn id="6" xr3:uid="{E406B1A8-FE43-4F46-B098-C8F386E557B1}" name="HOSPEDAGEM R$" dataDxfId="4" dataCellStyle="Moeda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556C6-A0FA-48E5-9C90-96C59F3FDC95}" name="Tabela5" displayName="Tabela5" ref="A1:E3" totalsRowShown="0" headerRowDxfId="3" headerRowBorderDxfId="2">
  <autoFilter ref="A1:E3" xr:uid="{2EFAC822-781E-49A7-9E37-807F9A11773B}"/>
  <tableColumns count="5">
    <tableColumn id="1" xr3:uid="{37F6DF33-7318-454A-B809-8D15C227E196}" name="NOME"/>
    <tableColumn id="2" xr3:uid="{D019ED57-F13F-4B96-B244-BBEEA7A70905}" name="ENDERECO"/>
    <tableColumn id="3" xr3:uid="{A88BF2FA-6D05-4120-979B-24E1D242EDD5}" name="CELULAR"/>
    <tableColumn id="4" xr3:uid="{3187D2F1-FEE8-43C0-9E95-CDD58A5B4254}" name="CREA"/>
    <tableColumn id="5" xr3:uid="{CC4468E8-5BEA-4669-A8FB-8A8C19EFB919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A944-3733-499C-AE71-B8AE2761D1CD}">
  <sheetPr codeName="Planilha2"/>
  <dimension ref="A1:U1"/>
  <sheetViews>
    <sheetView showGridLines="0" showRowColHeaders="0" workbookViewId="0">
      <selection activeCell="T24" sqref="T24"/>
    </sheetView>
  </sheetViews>
  <sheetFormatPr defaultColWidth="0" defaultRowHeight="15" x14ac:dyDescent="0.25"/>
  <cols>
    <col min="1" max="21" width="9.140625" customWidth="1"/>
    <col min="22" max="16384" width="9.140625" hidden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864A9-89E5-4EA0-A527-8EF93C3A10E0}">
  <sheetPr codeName="Planilha22">
    <pageSetUpPr fitToPage="1"/>
  </sheetPr>
  <dimension ref="A2:R9"/>
  <sheetViews>
    <sheetView showGridLines="0" zoomScaleNormal="100" workbookViewId="0">
      <selection activeCell="I18" sqref="I18"/>
    </sheetView>
  </sheetViews>
  <sheetFormatPr defaultRowHeight="15" x14ac:dyDescent="0.25"/>
  <cols>
    <col min="1" max="1" width="18.28515625" bestFit="1" customWidth="1"/>
    <col min="2" max="2" width="17.42578125" bestFit="1" customWidth="1"/>
    <col min="3" max="3" width="14.42578125" bestFit="1" customWidth="1"/>
    <col min="4" max="4" width="13.85546875" bestFit="1" customWidth="1"/>
    <col min="5" max="5" width="5.7109375" bestFit="1" customWidth="1"/>
    <col min="6" max="6" width="14.7109375" bestFit="1" customWidth="1"/>
    <col min="7" max="7" width="20.7109375" bestFit="1" customWidth="1"/>
    <col min="8" max="8" width="6.140625" customWidth="1"/>
    <col min="9" max="9" width="22.140625" bestFit="1" customWidth="1"/>
    <col min="10" max="10" width="17.42578125" bestFit="1" customWidth="1"/>
    <col min="11" max="11" width="13.28515625" bestFit="1" customWidth="1"/>
    <col min="12" max="12" width="13.85546875" bestFit="1" customWidth="1"/>
    <col min="13" max="13" width="5.7109375" bestFit="1" customWidth="1"/>
    <col min="14" max="14" width="14.28515625" bestFit="1" customWidth="1"/>
    <col min="15" max="15" width="20.7109375" bestFit="1" customWidth="1"/>
  </cols>
  <sheetData>
    <row r="2" spans="1:18" ht="21.75" thickBot="1" x14ac:dyDescent="0.4">
      <c r="A2" s="61" t="s">
        <v>180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24"/>
      <c r="P2" s="24"/>
      <c r="Q2" s="24"/>
      <c r="R2" s="24"/>
    </row>
    <row r="4" spans="1:18" ht="21" x14ac:dyDescent="0.35">
      <c r="A4" s="65" t="s">
        <v>129</v>
      </c>
      <c r="B4" s="65"/>
      <c r="C4" s="65"/>
      <c r="D4" s="65"/>
      <c r="E4" s="65"/>
      <c r="F4" s="65"/>
      <c r="G4" s="65"/>
      <c r="I4" s="65" t="s">
        <v>181</v>
      </c>
      <c r="J4" s="65"/>
      <c r="K4" s="65"/>
      <c r="L4" s="65"/>
      <c r="M4" s="65"/>
      <c r="N4" s="65"/>
      <c r="O4" s="65"/>
    </row>
    <row r="6" spans="1:18" x14ac:dyDescent="0.25">
      <c r="A6" s="40" t="s">
        <v>100</v>
      </c>
      <c r="B6" s="40" t="s">
        <v>54</v>
      </c>
      <c r="C6" s="40" t="s">
        <v>48</v>
      </c>
      <c r="D6" s="40" t="s">
        <v>49</v>
      </c>
      <c r="E6" s="40" t="s">
        <v>50</v>
      </c>
      <c r="F6" s="40" t="s">
        <v>46</v>
      </c>
      <c r="G6" s="40" t="s">
        <v>182</v>
      </c>
      <c r="I6" s="40" t="s">
        <v>100</v>
      </c>
      <c r="J6" s="40" t="s">
        <v>54</v>
      </c>
      <c r="K6" s="40" t="s">
        <v>48</v>
      </c>
      <c r="L6" s="40" t="s">
        <v>49</v>
      </c>
      <c r="M6" s="40" t="s">
        <v>50</v>
      </c>
      <c r="N6" s="40" t="s">
        <v>103</v>
      </c>
      <c r="O6" s="40" t="s">
        <v>182</v>
      </c>
    </row>
    <row r="7" spans="1:18" x14ac:dyDescent="0.25">
      <c r="A7" s="1">
        <v>44248</v>
      </c>
      <c r="B7" s="10">
        <v>123</v>
      </c>
      <c r="C7" t="s">
        <v>163</v>
      </c>
      <c r="D7" t="s">
        <v>29</v>
      </c>
      <c r="E7" t="s">
        <v>17</v>
      </c>
      <c r="F7" s="1">
        <v>44248</v>
      </c>
      <c r="G7" t="s">
        <v>135</v>
      </c>
      <c r="I7" t="s">
        <v>157</v>
      </c>
      <c r="J7" s="12">
        <v>125</v>
      </c>
      <c r="K7" t="s">
        <v>171</v>
      </c>
      <c r="L7" t="s">
        <v>29</v>
      </c>
      <c r="M7" t="s">
        <v>17</v>
      </c>
      <c r="N7" t="s">
        <v>135</v>
      </c>
      <c r="O7" t="s">
        <v>135</v>
      </c>
    </row>
    <row r="8" spans="1:18" x14ac:dyDescent="0.25">
      <c r="A8" s="1">
        <v>44248</v>
      </c>
      <c r="B8" s="10">
        <v>145</v>
      </c>
      <c r="C8" t="s">
        <v>172</v>
      </c>
      <c r="D8" t="s">
        <v>29</v>
      </c>
      <c r="E8" t="s">
        <v>17</v>
      </c>
      <c r="F8" t="s">
        <v>135</v>
      </c>
      <c r="G8" t="s">
        <v>135</v>
      </c>
    </row>
    <row r="9" spans="1:18" x14ac:dyDescent="0.25">
      <c r="A9" s="1">
        <v>44248</v>
      </c>
      <c r="B9" s="10">
        <v>1253</v>
      </c>
      <c r="C9" t="s">
        <v>85</v>
      </c>
      <c r="D9" t="s">
        <v>29</v>
      </c>
      <c r="E9" t="s">
        <v>17</v>
      </c>
      <c r="F9" t="s">
        <v>135</v>
      </c>
      <c r="G9" t="s">
        <v>135</v>
      </c>
    </row>
  </sheetData>
  <mergeCells count="3">
    <mergeCell ref="A2:N2"/>
    <mergeCell ref="A4:G4"/>
    <mergeCell ref="I4:O4"/>
  </mergeCells>
  <pageMargins left="0.511811024" right="0.511811024" top="0.78740157499999996" bottom="0.78740157499999996" header="0.31496062000000002" footer="0.31496062000000002"/>
  <pageSetup paperSize="9" scale="62" orientation="landscape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2BEB-4C4E-45A6-A141-577B96A83726}">
  <sheetPr codeName="Planilha16">
    <pageSetUpPr fitToPage="1"/>
  </sheetPr>
  <dimension ref="A1:AA11"/>
  <sheetViews>
    <sheetView showGridLines="0" workbookViewId="0">
      <selection activeCell="A7" sqref="A7"/>
    </sheetView>
  </sheetViews>
  <sheetFormatPr defaultRowHeight="15" x14ac:dyDescent="0.25"/>
  <cols>
    <col min="1" max="1" width="18.140625" bestFit="1" customWidth="1"/>
    <col min="2" max="2" width="15.85546875" bestFit="1" customWidth="1"/>
    <col min="3" max="3" width="11.42578125" bestFit="1" customWidth="1"/>
    <col min="4" max="4" width="11.28515625" customWidth="1"/>
    <col min="5" max="5" width="16.42578125" style="17" customWidth="1"/>
    <col min="6" max="6" width="18" style="17" bestFit="1" customWidth="1"/>
    <col min="7" max="7" width="15.42578125" style="17" bestFit="1" customWidth="1"/>
    <col min="8" max="8" width="11.7109375" style="17" bestFit="1" customWidth="1"/>
    <col min="9" max="9" width="11.85546875" style="17" bestFit="1" customWidth="1"/>
    <col min="10" max="10" width="17.85546875" style="17" bestFit="1" customWidth="1"/>
    <col min="11" max="11" width="18" style="17" bestFit="1" customWidth="1"/>
    <col min="12" max="12" width="10.28515625" style="17" bestFit="1" customWidth="1"/>
    <col min="13" max="13" width="8.85546875" style="17" bestFit="1" customWidth="1"/>
    <col min="14" max="14" width="18.140625" bestFit="1" customWidth="1"/>
    <col min="15" max="15" width="7.42578125" bestFit="1" customWidth="1"/>
    <col min="16" max="16" width="10" bestFit="1" customWidth="1"/>
    <col min="17" max="17" width="17.28515625" bestFit="1" customWidth="1"/>
    <col min="18" max="18" width="15" bestFit="1" customWidth="1"/>
    <col min="19" max="19" width="7.5703125" customWidth="1"/>
    <col min="20" max="21" width="13.5703125" style="26" bestFit="1" customWidth="1"/>
    <col min="22" max="22" width="12.28515625" style="26" customWidth="1"/>
    <col min="23" max="23" width="13.140625" style="26" customWidth="1"/>
    <col min="24" max="24" width="11.28515625" style="26" customWidth="1"/>
    <col min="25" max="25" width="7.5703125" style="26" customWidth="1"/>
    <col min="26" max="30" width="7.5703125" customWidth="1"/>
  </cols>
  <sheetData>
    <row r="1" spans="1:27" ht="36" customHeight="1" thickBot="1" x14ac:dyDescent="0.4">
      <c r="A1" s="61" t="s">
        <v>131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24"/>
      <c r="S1" s="24"/>
      <c r="T1" s="60"/>
      <c r="U1" s="60"/>
      <c r="V1" s="60"/>
      <c r="W1" s="60"/>
      <c r="X1" s="60"/>
      <c r="Y1" s="60"/>
      <c r="Z1" s="24"/>
      <c r="AA1" s="24"/>
    </row>
    <row r="2" spans="1:27" x14ac:dyDescent="0.25">
      <c r="B2" s="21"/>
      <c r="C2" s="21"/>
      <c r="D2" s="21"/>
      <c r="L2" s="34"/>
      <c r="O2" s="22"/>
      <c r="P2" s="22"/>
      <c r="Q2" s="26"/>
      <c r="R2" s="26"/>
      <c r="S2" s="26"/>
      <c r="T2" s="38" t="s">
        <v>103</v>
      </c>
      <c r="U2" s="38" t="s">
        <v>103</v>
      </c>
      <c r="V2" s="38" t="s">
        <v>125</v>
      </c>
      <c r="W2" s="38" t="s">
        <v>101</v>
      </c>
      <c r="X2" s="38" t="s">
        <v>117</v>
      </c>
      <c r="Y2" s="38" t="s">
        <v>127</v>
      </c>
      <c r="Z2" s="22"/>
      <c r="AA2" s="22"/>
    </row>
    <row r="3" spans="1:27" x14ac:dyDescent="0.25">
      <c r="A3" s="20" t="s">
        <v>119</v>
      </c>
      <c r="B3" s="63"/>
      <c r="C3" s="63"/>
      <c r="D3" s="63"/>
      <c r="E3" s="33"/>
      <c r="L3" s="34"/>
      <c r="O3" s="22"/>
      <c r="P3" s="22"/>
      <c r="Q3" s="26"/>
      <c r="R3" s="26"/>
      <c r="S3" s="26"/>
      <c r="T3" s="39" t="str">
        <f>"&gt;="&amp;IF($B$2="",0,$B$2)</f>
        <v>&gt;=0</v>
      </c>
      <c r="U3" s="39" t="str">
        <f>"&lt;="&amp;IF($D$2="",999999,$D$2)</f>
        <v>&lt;=999999</v>
      </c>
      <c r="V3" s="39" t="str">
        <f>IF($B$3&lt;&gt;"",$B$3,"")</f>
        <v/>
      </c>
      <c r="W3" s="39" t="str">
        <f>IF($B$4&lt;&gt;"",$B$4,"")</f>
        <v/>
      </c>
      <c r="X3" s="39" t="str">
        <f>IF($B$5&lt;&gt;"",$B$5,"")</f>
        <v/>
      </c>
      <c r="Y3" s="39" t="str">
        <f>IF($B$6&lt;&gt;"",$B$6,"")</f>
        <v/>
      </c>
      <c r="Z3" s="22"/>
      <c r="AA3" s="22"/>
    </row>
    <row r="4" spans="1:27" x14ac:dyDescent="0.25">
      <c r="A4" s="20" t="s">
        <v>120</v>
      </c>
      <c r="B4" s="62"/>
      <c r="C4" s="62"/>
      <c r="D4" s="62"/>
      <c r="E4" s="33"/>
      <c r="F4" s="56"/>
      <c r="G4" s="34"/>
      <c r="H4" s="55"/>
      <c r="I4" s="55"/>
      <c r="J4" s="55"/>
      <c r="K4" s="55"/>
      <c r="L4" s="34"/>
      <c r="M4" s="34"/>
      <c r="N4" s="22"/>
      <c r="O4" s="22"/>
      <c r="P4" s="22"/>
      <c r="Q4" s="26"/>
      <c r="R4" s="26"/>
      <c r="S4" s="26"/>
      <c r="Z4" s="22"/>
      <c r="AA4" s="22"/>
    </row>
    <row r="5" spans="1:27" x14ac:dyDescent="0.25">
      <c r="A5" s="23" t="s">
        <v>122</v>
      </c>
      <c r="B5" s="62"/>
      <c r="C5" s="62"/>
      <c r="D5" s="20" t="s">
        <v>134</v>
      </c>
      <c r="E5" s="35"/>
      <c r="F5" s="57"/>
      <c r="G5" s="34"/>
      <c r="H5" s="34"/>
      <c r="I5" s="34"/>
      <c r="J5" s="34"/>
      <c r="K5" s="34"/>
      <c r="L5" s="34"/>
      <c r="M5" s="34"/>
      <c r="N5" s="22"/>
      <c r="O5" s="22"/>
      <c r="P5" s="22"/>
      <c r="Q5" s="22"/>
      <c r="R5" s="22"/>
      <c r="S5" s="22"/>
      <c r="Z5" s="22"/>
      <c r="AA5" s="22"/>
    </row>
    <row r="6" spans="1:27" x14ac:dyDescent="0.25">
      <c r="A6" s="23" t="s">
        <v>132</v>
      </c>
      <c r="B6" s="62"/>
      <c r="C6" s="62"/>
      <c r="D6" t="s">
        <v>133</v>
      </c>
      <c r="E6" s="36"/>
      <c r="F6" s="58"/>
      <c r="G6" s="42"/>
      <c r="H6" s="42"/>
      <c r="I6" s="42"/>
      <c r="J6" s="42"/>
      <c r="K6" s="42"/>
      <c r="L6" s="42"/>
      <c r="M6" s="34"/>
      <c r="N6" s="22"/>
      <c r="O6" s="22"/>
      <c r="P6" s="22"/>
      <c r="Q6" s="22"/>
      <c r="R6" s="22"/>
      <c r="S6" s="22"/>
      <c r="Z6" s="22"/>
      <c r="AA6" s="22"/>
    </row>
    <row r="7" spans="1:27" x14ac:dyDescent="0.25">
      <c r="A7" s="18" t="s">
        <v>125</v>
      </c>
      <c r="B7" s="27" t="s">
        <v>54</v>
      </c>
      <c r="C7" s="27" t="s">
        <v>128</v>
      </c>
      <c r="D7" s="18" t="s">
        <v>103</v>
      </c>
      <c r="E7" s="16" t="s">
        <v>137</v>
      </c>
      <c r="F7" s="16" t="s">
        <v>65</v>
      </c>
      <c r="G7" s="16" t="s">
        <v>68</v>
      </c>
      <c r="H7" s="16" t="s">
        <v>69</v>
      </c>
      <c r="I7" s="16" t="s">
        <v>138</v>
      </c>
      <c r="J7" s="16" t="s">
        <v>116</v>
      </c>
      <c r="K7" s="16" t="s">
        <v>136</v>
      </c>
      <c r="L7" s="16" t="s">
        <v>70</v>
      </c>
      <c r="M7" s="16" t="s">
        <v>71</v>
      </c>
      <c r="N7" s="27" t="s">
        <v>126</v>
      </c>
      <c r="O7" s="27" t="s">
        <v>127</v>
      </c>
      <c r="P7" s="27" t="s">
        <v>117</v>
      </c>
      <c r="Q7" s="27" t="s">
        <v>130</v>
      </c>
      <c r="R7" s="27" t="s">
        <v>101</v>
      </c>
    </row>
    <row r="8" spans="1:27" x14ac:dyDescent="0.25">
      <c r="A8" t="s">
        <v>158</v>
      </c>
      <c r="B8">
        <v>2</v>
      </c>
      <c r="D8" s="1" t="s">
        <v>157</v>
      </c>
      <c r="E8" s="28">
        <v>150</v>
      </c>
      <c r="F8" s="28">
        <v>158</v>
      </c>
      <c r="G8" s="28">
        <v>0</v>
      </c>
      <c r="H8" s="28">
        <v>0</v>
      </c>
      <c r="L8" s="28">
        <v>0</v>
      </c>
      <c r="M8" s="28">
        <v>308</v>
      </c>
      <c r="N8" s="1">
        <v>44248</v>
      </c>
      <c r="O8" t="s">
        <v>129</v>
      </c>
      <c r="P8" t="s">
        <v>169</v>
      </c>
      <c r="Q8" s="1">
        <v>44248</v>
      </c>
      <c r="R8" t="s">
        <v>161</v>
      </c>
    </row>
    <row r="9" spans="1:27" x14ac:dyDescent="0.25">
      <c r="A9" t="s">
        <v>158</v>
      </c>
      <c r="B9">
        <v>4</v>
      </c>
      <c r="D9" s="1" t="s">
        <v>157</v>
      </c>
      <c r="E9" s="28">
        <v>150</v>
      </c>
      <c r="F9" s="28">
        <v>158</v>
      </c>
      <c r="G9" s="28">
        <v>0</v>
      </c>
      <c r="H9" s="28">
        <v>0</v>
      </c>
      <c r="L9" s="28">
        <v>0</v>
      </c>
      <c r="M9" s="28">
        <v>308</v>
      </c>
      <c r="N9" s="1">
        <v>44248</v>
      </c>
      <c r="O9" t="s">
        <v>129</v>
      </c>
      <c r="P9" t="s">
        <v>118</v>
      </c>
      <c r="R9" t="s">
        <v>161</v>
      </c>
    </row>
    <row r="10" spans="1:27" x14ac:dyDescent="0.25">
      <c r="A10" t="s">
        <v>158</v>
      </c>
      <c r="B10">
        <v>1</v>
      </c>
      <c r="D10" s="1" t="s">
        <v>157</v>
      </c>
      <c r="E10" s="28">
        <v>150</v>
      </c>
      <c r="F10" s="28">
        <v>158</v>
      </c>
      <c r="G10" s="28">
        <v>0</v>
      </c>
      <c r="H10" s="28">
        <v>0</v>
      </c>
      <c r="L10" s="28">
        <v>0</v>
      </c>
      <c r="M10" s="28">
        <v>308</v>
      </c>
      <c r="N10" s="1">
        <v>44248</v>
      </c>
      <c r="O10" t="s">
        <v>129</v>
      </c>
      <c r="P10" t="s">
        <v>118</v>
      </c>
      <c r="R10" t="s">
        <v>161</v>
      </c>
    </row>
    <row r="11" spans="1:27" x14ac:dyDescent="0.25">
      <c r="A11" t="s">
        <v>167</v>
      </c>
      <c r="B11">
        <v>3</v>
      </c>
      <c r="D11" s="1" t="s">
        <v>115</v>
      </c>
      <c r="E11" s="28">
        <v>150</v>
      </c>
      <c r="F11" s="28">
        <v>155</v>
      </c>
      <c r="G11" s="28">
        <v>50</v>
      </c>
      <c r="H11" s="28">
        <v>25</v>
      </c>
      <c r="L11" s="28">
        <v>50</v>
      </c>
      <c r="M11" s="28">
        <v>430</v>
      </c>
      <c r="N11" s="1">
        <v>44248</v>
      </c>
      <c r="O11" t="s">
        <v>139</v>
      </c>
      <c r="P11" t="s">
        <v>169</v>
      </c>
      <c r="Q11" s="1">
        <v>44249</v>
      </c>
      <c r="R11" t="s">
        <v>165</v>
      </c>
    </row>
  </sheetData>
  <autoFilter ref="A7:R7" xr:uid="{C95772F8-18E7-462B-894B-ABCB978B33DD}"/>
  <mergeCells count="5">
    <mergeCell ref="B6:C6"/>
    <mergeCell ref="B3:D3"/>
    <mergeCell ref="B4:D4"/>
    <mergeCell ref="B5:C5"/>
    <mergeCell ref="A1:Q1"/>
  </mergeCells>
  <dataValidations count="2">
    <dataValidation type="list" allowBlank="1" showInputMessage="1" showErrorMessage="1" sqref="B3:D3" xr:uid="{39782F89-B37C-432B-AFFE-87B9F1F2E8F3}">
      <formula1>Perito</formula1>
    </dataValidation>
    <dataValidation type="list" allowBlank="1" showInputMessage="1" showErrorMessage="1" sqref="B4:D4" xr:uid="{25DB3407-7F0D-4200-9F5E-7DF0E25AB25E}">
      <formula1>Seguradora</formula1>
    </dataValidation>
  </dataValidations>
  <pageMargins left="0.511811024" right="0.511811024" top="0.78740157499999996" bottom="0.78740157499999996" header="0.31496062000000002" footer="0.31496062000000002"/>
  <pageSetup paperSize="9" scale="53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4E28B-AC9B-42BC-9899-1D98D9CC92D5}">
  <sheetPr codeName="Planilha14"/>
  <dimension ref="A1:R5"/>
  <sheetViews>
    <sheetView workbookViewId="0">
      <selection sqref="A1:R1"/>
    </sheetView>
  </sheetViews>
  <sheetFormatPr defaultRowHeight="15" x14ac:dyDescent="0.25"/>
  <cols>
    <col min="1" max="3" width="16.42578125" customWidth="1"/>
    <col min="4" max="4" width="16.42578125" style="1" customWidth="1"/>
    <col min="5" max="5" width="19.140625" style="17" customWidth="1"/>
    <col min="6" max="6" width="16.5703125" style="17" customWidth="1"/>
    <col min="7" max="9" width="16.42578125" style="17" customWidth="1"/>
    <col min="10" max="10" width="19.7109375" style="17" customWidth="1"/>
    <col min="11" max="11" width="20.28515625" style="17" customWidth="1"/>
    <col min="12" max="13" width="16.42578125" style="17" customWidth="1"/>
    <col min="14" max="17" width="20" customWidth="1"/>
    <col min="18" max="18" width="16.42578125" customWidth="1"/>
  </cols>
  <sheetData>
    <row r="1" spans="1:18" x14ac:dyDescent="0.25">
      <c r="A1" s="18" t="s">
        <v>125</v>
      </c>
      <c r="B1" s="18" t="s">
        <v>54</v>
      </c>
      <c r="C1" s="18" t="s">
        <v>128</v>
      </c>
      <c r="D1" s="59" t="s">
        <v>103</v>
      </c>
      <c r="E1" s="16" t="s">
        <v>137</v>
      </c>
      <c r="F1" s="16" t="s">
        <v>65</v>
      </c>
      <c r="G1" s="16" t="s">
        <v>68</v>
      </c>
      <c r="H1" s="16" t="s">
        <v>69</v>
      </c>
      <c r="I1" s="16" t="s">
        <v>138</v>
      </c>
      <c r="J1" s="16" t="s">
        <v>116</v>
      </c>
      <c r="K1" s="16" t="s">
        <v>136</v>
      </c>
      <c r="L1" s="16" t="s">
        <v>70</v>
      </c>
      <c r="M1" s="16" t="s">
        <v>71</v>
      </c>
      <c r="N1" s="27" t="s">
        <v>126</v>
      </c>
      <c r="O1" s="27" t="s">
        <v>127</v>
      </c>
      <c r="P1" s="27" t="s">
        <v>117</v>
      </c>
      <c r="Q1" s="27" t="s">
        <v>130</v>
      </c>
      <c r="R1" s="27" t="s">
        <v>101</v>
      </c>
    </row>
    <row r="2" spans="1:18" x14ac:dyDescent="0.25">
      <c r="A2" t="s">
        <v>158</v>
      </c>
      <c r="B2">
        <v>2</v>
      </c>
      <c r="D2" s="1" t="s">
        <v>157</v>
      </c>
      <c r="E2" s="28">
        <v>150</v>
      </c>
      <c r="F2" s="28">
        <v>158</v>
      </c>
      <c r="G2" s="28">
        <v>0</v>
      </c>
      <c r="H2" s="28">
        <v>0</v>
      </c>
      <c r="L2" s="28">
        <v>0</v>
      </c>
      <c r="M2" s="28">
        <v>308</v>
      </c>
      <c r="N2" s="1">
        <v>44248</v>
      </c>
      <c r="O2" t="s">
        <v>129</v>
      </c>
      <c r="P2" t="s">
        <v>169</v>
      </c>
      <c r="Q2" s="1">
        <v>44248</v>
      </c>
      <c r="R2" t="s">
        <v>161</v>
      </c>
    </row>
    <row r="3" spans="1:18" x14ac:dyDescent="0.25">
      <c r="A3" t="s">
        <v>158</v>
      </c>
      <c r="B3">
        <v>4</v>
      </c>
      <c r="D3" s="1" t="s">
        <v>157</v>
      </c>
      <c r="E3" s="28">
        <v>150</v>
      </c>
      <c r="F3" s="28">
        <v>158</v>
      </c>
      <c r="G3" s="28">
        <v>0</v>
      </c>
      <c r="H3" s="28">
        <v>0</v>
      </c>
      <c r="L3" s="28">
        <v>0</v>
      </c>
      <c r="M3" s="28">
        <v>308</v>
      </c>
      <c r="N3" s="1">
        <v>44248</v>
      </c>
      <c r="O3" t="s">
        <v>129</v>
      </c>
      <c r="P3" t="s">
        <v>118</v>
      </c>
      <c r="R3" t="s">
        <v>161</v>
      </c>
    </row>
    <row r="4" spans="1:18" x14ac:dyDescent="0.25">
      <c r="A4" t="s">
        <v>158</v>
      </c>
      <c r="B4">
        <v>1</v>
      </c>
      <c r="D4" s="1" t="s">
        <v>157</v>
      </c>
      <c r="E4" s="28">
        <v>150</v>
      </c>
      <c r="F4" s="28">
        <v>158</v>
      </c>
      <c r="G4" s="28">
        <v>0</v>
      </c>
      <c r="H4" s="28">
        <v>0</v>
      </c>
      <c r="L4" s="28">
        <v>0</v>
      </c>
      <c r="M4" s="28">
        <v>308</v>
      </c>
      <c r="N4" s="1">
        <v>44248</v>
      </c>
      <c r="O4" t="s">
        <v>129</v>
      </c>
      <c r="P4" t="s">
        <v>118</v>
      </c>
      <c r="R4" t="s">
        <v>161</v>
      </c>
    </row>
    <row r="5" spans="1:18" x14ac:dyDescent="0.25">
      <c r="A5" t="s">
        <v>167</v>
      </c>
      <c r="B5">
        <v>3</v>
      </c>
      <c r="D5" s="1" t="s">
        <v>115</v>
      </c>
      <c r="E5" s="28">
        <v>150</v>
      </c>
      <c r="F5" s="28">
        <v>155</v>
      </c>
      <c r="G5" s="28">
        <v>50</v>
      </c>
      <c r="H5" s="28">
        <v>25</v>
      </c>
      <c r="L5" s="28">
        <v>50</v>
      </c>
      <c r="M5" s="28">
        <v>430</v>
      </c>
      <c r="N5" s="1">
        <v>44248</v>
      </c>
      <c r="O5" t="s">
        <v>139</v>
      </c>
      <c r="P5" t="s">
        <v>169</v>
      </c>
      <c r="Q5" s="1">
        <v>44249</v>
      </c>
      <c r="R5" t="s">
        <v>165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D952-212E-45E5-B8B6-F8787E2F7EEF}">
  <sheetPr codeName="Planilha5"/>
  <dimension ref="A1:AJ4"/>
  <sheetViews>
    <sheetView topLeftCell="S1" workbookViewId="0">
      <selection activeCell="AC1" sqref="AC1"/>
    </sheetView>
  </sheetViews>
  <sheetFormatPr defaultColWidth="0" defaultRowHeight="15" x14ac:dyDescent="0.25"/>
  <cols>
    <col min="1" max="1" width="21.140625" style="1" bestFit="1" customWidth="1"/>
    <col min="2" max="2" width="8" bestFit="1" customWidth="1"/>
    <col min="3" max="4" width="22.140625" style="1" customWidth="1"/>
    <col min="5" max="5" width="13.42578125" bestFit="1" customWidth="1"/>
    <col min="6" max="6" width="13.7109375" style="10" bestFit="1" customWidth="1"/>
    <col min="7" max="7" width="22.28515625" customWidth="1"/>
    <col min="8" max="8" width="16.140625" bestFit="1" customWidth="1"/>
    <col min="9" max="9" width="8.140625" bestFit="1" customWidth="1"/>
    <col min="10" max="10" width="27.28515625" bestFit="1" customWidth="1"/>
    <col min="11" max="11" width="12.28515625" bestFit="1" customWidth="1"/>
    <col min="12" max="12" width="22.7109375" style="17" bestFit="1" customWidth="1"/>
    <col min="13" max="13" width="9.85546875" bestFit="1" customWidth="1"/>
    <col min="14" max="14" width="12.5703125" bestFit="1" customWidth="1"/>
    <col min="15" max="15" width="16" style="17" bestFit="1" customWidth="1"/>
    <col min="16" max="16" width="13.42578125" style="17" bestFit="1" customWidth="1"/>
    <col min="17" max="17" width="16.42578125" style="17" bestFit="1" customWidth="1"/>
    <col min="18" max="18" width="22.42578125" style="17" bestFit="1" customWidth="1"/>
    <col min="19" max="19" width="23" style="17" bestFit="1" customWidth="1"/>
    <col min="20" max="20" width="15.28515625" style="17" bestFit="1" customWidth="1"/>
    <col min="21" max="28" width="15.28515625" style="17" customWidth="1"/>
    <col min="29" max="29" width="21.5703125" style="17" bestFit="1" customWidth="1"/>
    <col min="30" max="30" width="22.140625" hidden="1" customWidth="1"/>
    <col min="31" max="31" width="14.140625" hidden="1" customWidth="1"/>
    <col min="32" max="32" width="20.42578125" hidden="1" customWidth="1"/>
    <col min="33" max="33" width="13.85546875" hidden="1" customWidth="1"/>
    <col min="34" max="34" width="16.5703125" style="15" hidden="1" customWidth="1"/>
    <col min="35" max="36" width="16.5703125" hidden="1" customWidth="1"/>
    <col min="37" max="16384" width="9.140625" hidden="1"/>
  </cols>
  <sheetData>
    <row r="1" spans="1:34" s="5" customFormat="1" ht="30" customHeight="1" x14ac:dyDescent="0.25">
      <c r="A1" s="6" t="s">
        <v>100</v>
      </c>
      <c r="B1" s="4" t="s">
        <v>45</v>
      </c>
      <c r="C1" s="6" t="s">
        <v>46</v>
      </c>
      <c r="D1" s="6" t="s">
        <v>105</v>
      </c>
      <c r="E1" s="4" t="s">
        <v>47</v>
      </c>
      <c r="F1" s="9" t="s">
        <v>54</v>
      </c>
      <c r="G1" s="4" t="s">
        <v>48</v>
      </c>
      <c r="H1" s="4" t="s">
        <v>49</v>
      </c>
      <c r="I1" s="4" t="s">
        <v>50</v>
      </c>
      <c r="J1" s="4" t="s">
        <v>51</v>
      </c>
      <c r="K1" s="4" t="s">
        <v>52</v>
      </c>
      <c r="L1" s="16" t="s">
        <v>174</v>
      </c>
      <c r="M1" s="4" t="s">
        <v>175</v>
      </c>
      <c r="N1" s="16" t="s">
        <v>95</v>
      </c>
      <c r="O1" s="16" t="s">
        <v>138</v>
      </c>
      <c r="P1" s="16" t="s">
        <v>176</v>
      </c>
      <c r="Q1" s="16" t="s">
        <v>177</v>
      </c>
      <c r="R1" s="16" t="s">
        <v>116</v>
      </c>
      <c r="S1" s="16" t="s">
        <v>136</v>
      </c>
      <c r="T1" s="16" t="s">
        <v>70</v>
      </c>
      <c r="U1" s="16" t="s">
        <v>179</v>
      </c>
      <c r="V1" s="16" t="s">
        <v>101</v>
      </c>
      <c r="W1" s="2" t="s">
        <v>123</v>
      </c>
      <c r="X1" s="2" t="s">
        <v>124</v>
      </c>
      <c r="Y1" s="2" t="s">
        <v>173</v>
      </c>
      <c r="Z1" s="6" t="s">
        <v>113</v>
      </c>
      <c r="AA1" s="2" t="s">
        <v>66</v>
      </c>
      <c r="AB1" s="16" t="s">
        <v>67</v>
      </c>
      <c r="AC1" s="16" t="s">
        <v>182</v>
      </c>
      <c r="AD1" s="16" t="s">
        <v>170</v>
      </c>
      <c r="AE1" s="4" t="s">
        <v>121</v>
      </c>
      <c r="AF1" s="4" t="s">
        <v>44</v>
      </c>
      <c r="AG1" s="4" t="s">
        <v>102</v>
      </c>
      <c r="AH1" s="14" t="s">
        <v>114</v>
      </c>
    </row>
    <row r="2" spans="1:34" x14ac:dyDescent="0.25">
      <c r="A2" s="1">
        <v>44248</v>
      </c>
      <c r="C2" s="1">
        <v>44248</v>
      </c>
      <c r="F2" s="10">
        <v>123</v>
      </c>
      <c r="G2" t="s">
        <v>163</v>
      </c>
      <c r="H2" t="s">
        <v>29</v>
      </c>
      <c r="I2" t="s">
        <v>17</v>
      </c>
      <c r="J2" t="s">
        <v>94</v>
      </c>
      <c r="K2" t="s">
        <v>158</v>
      </c>
      <c r="N2" s="17"/>
      <c r="V2" t="s">
        <v>161</v>
      </c>
      <c r="W2" s="17" t="s">
        <v>118</v>
      </c>
      <c r="X2" s="17" t="s">
        <v>118</v>
      </c>
      <c r="Y2" s="17" t="s">
        <v>77</v>
      </c>
      <c r="Z2" s="25">
        <v>44249</v>
      </c>
      <c r="AD2" t="s">
        <v>161</v>
      </c>
      <c r="AE2" s="17" t="s">
        <v>118</v>
      </c>
      <c r="AF2" t="s">
        <v>118</v>
      </c>
      <c r="AG2" t="s">
        <v>76</v>
      </c>
      <c r="AH2" s="15">
        <v>44248</v>
      </c>
    </row>
    <row r="3" spans="1:34" x14ac:dyDescent="0.25">
      <c r="A3" s="1">
        <v>44248</v>
      </c>
      <c r="F3" s="10">
        <v>1253</v>
      </c>
      <c r="G3" t="s">
        <v>85</v>
      </c>
      <c r="H3" t="s">
        <v>29</v>
      </c>
      <c r="I3" t="s">
        <v>17</v>
      </c>
      <c r="J3" t="s">
        <v>94</v>
      </c>
      <c r="K3" t="s">
        <v>158</v>
      </c>
      <c r="N3" s="17"/>
      <c r="V3" s="17" t="s">
        <v>161</v>
      </c>
      <c r="W3" s="17" t="s">
        <v>118</v>
      </c>
      <c r="X3" s="17" t="s">
        <v>118</v>
      </c>
      <c r="Y3" s="17" t="s">
        <v>77</v>
      </c>
      <c r="Z3" s="25">
        <v>44249</v>
      </c>
      <c r="AD3" t="s">
        <v>77</v>
      </c>
      <c r="AE3" s="25">
        <v>44249</v>
      </c>
    </row>
    <row r="4" spans="1:34" x14ac:dyDescent="0.25">
      <c r="A4" s="1">
        <v>44248</v>
      </c>
      <c r="F4" s="10">
        <v>145</v>
      </c>
      <c r="G4" t="s">
        <v>172</v>
      </c>
      <c r="H4" t="s">
        <v>29</v>
      </c>
      <c r="I4" t="s">
        <v>17</v>
      </c>
      <c r="J4" t="s">
        <v>94</v>
      </c>
      <c r="K4" t="s">
        <v>167</v>
      </c>
      <c r="N4" s="17"/>
      <c r="V4" s="17" t="s">
        <v>165</v>
      </c>
      <c r="W4" s="17" t="s">
        <v>118</v>
      </c>
      <c r="X4" s="17" t="s">
        <v>118</v>
      </c>
      <c r="Y4" s="17" t="s">
        <v>77</v>
      </c>
      <c r="Z4" s="25">
        <v>44249</v>
      </c>
      <c r="AC4" s="25"/>
      <c r="AE4" s="17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6DA0-257A-4419-A6D1-B421D7280787}">
  <sheetPr codeName="Planilha6"/>
  <dimension ref="A1:AE4"/>
  <sheetViews>
    <sheetView topLeftCell="Y1" workbookViewId="0">
      <selection activeCell="AE2" sqref="AE2:AE4"/>
    </sheetView>
  </sheetViews>
  <sheetFormatPr defaultRowHeight="15" x14ac:dyDescent="0.25"/>
  <cols>
    <col min="1" max="3" width="21.7109375" style="15" customWidth="1"/>
    <col min="4" max="6" width="21.7109375" style="12" customWidth="1"/>
    <col min="7" max="7" width="21.7109375" style="10" customWidth="1"/>
    <col min="8" max="10" width="21.7109375" customWidth="1"/>
    <col min="11" max="11" width="21.7109375" style="13" customWidth="1"/>
    <col min="12" max="15" width="21.7109375" customWidth="1"/>
    <col min="16" max="17" width="21.7109375" style="10" customWidth="1"/>
    <col min="18" max="18" width="21.7109375" customWidth="1"/>
    <col min="19" max="19" width="21.7109375" style="17" customWidth="1"/>
    <col min="20" max="20" width="21.7109375" customWidth="1"/>
    <col min="21" max="21" width="21.7109375" style="17" customWidth="1"/>
    <col min="22" max="22" width="23.28515625" customWidth="1"/>
    <col min="23" max="27" width="21.7109375" style="17" customWidth="1"/>
    <col min="28" max="28" width="21.7109375" style="15" customWidth="1"/>
    <col min="29" max="29" width="20.85546875" style="1" bestFit="1" customWidth="1"/>
    <col min="30" max="30" width="20.85546875" style="1" customWidth="1"/>
    <col min="31" max="31" width="18.42578125" bestFit="1" customWidth="1"/>
  </cols>
  <sheetData>
    <row r="1" spans="1:31" s="3" customFormat="1" ht="30" customHeight="1" x14ac:dyDescent="0.25">
      <c r="A1" s="14" t="s">
        <v>100</v>
      </c>
      <c r="B1" s="14" t="s">
        <v>103</v>
      </c>
      <c r="C1" s="14" t="s">
        <v>104</v>
      </c>
      <c r="D1" s="11" t="s">
        <v>45</v>
      </c>
      <c r="E1" s="11" t="s">
        <v>54</v>
      </c>
      <c r="F1" s="11" t="s">
        <v>55</v>
      </c>
      <c r="G1" s="9" t="s">
        <v>56</v>
      </c>
      <c r="H1" s="2" t="s">
        <v>48</v>
      </c>
      <c r="I1" s="2" t="s">
        <v>57</v>
      </c>
      <c r="J1" s="2" t="s">
        <v>49</v>
      </c>
      <c r="K1" s="2" t="s">
        <v>50</v>
      </c>
      <c r="L1" s="2" t="s">
        <v>58</v>
      </c>
      <c r="M1" s="2" t="s">
        <v>59</v>
      </c>
      <c r="N1" s="2" t="s">
        <v>52</v>
      </c>
      <c r="O1" s="2" t="s">
        <v>60</v>
      </c>
      <c r="P1" s="9" t="s">
        <v>61</v>
      </c>
      <c r="Q1" s="9" t="s">
        <v>62</v>
      </c>
      <c r="R1" s="2" t="s">
        <v>101</v>
      </c>
      <c r="S1" s="16" t="s">
        <v>137</v>
      </c>
      <c r="T1" s="2" t="s">
        <v>64</v>
      </c>
      <c r="U1" s="16" t="s">
        <v>65</v>
      </c>
      <c r="V1" s="2" t="s">
        <v>66</v>
      </c>
      <c r="W1" s="16" t="s">
        <v>67</v>
      </c>
      <c r="X1" s="16" t="s">
        <v>68</v>
      </c>
      <c r="Y1" s="16" t="s">
        <v>69</v>
      </c>
      <c r="Z1" s="16" t="s">
        <v>70</v>
      </c>
      <c r="AA1" s="16" t="s">
        <v>178</v>
      </c>
      <c r="AB1" s="6" t="s">
        <v>113</v>
      </c>
      <c r="AC1" s="2" t="s">
        <v>123</v>
      </c>
      <c r="AD1" s="2" t="s">
        <v>124</v>
      </c>
      <c r="AE1" s="2" t="s">
        <v>182</v>
      </c>
    </row>
    <row r="2" spans="1:31" x14ac:dyDescent="0.25">
      <c r="A2" s="15" t="s">
        <v>157</v>
      </c>
      <c r="B2" s="15" t="s">
        <v>157</v>
      </c>
      <c r="D2" s="12">
        <v>12</v>
      </c>
      <c r="E2" s="12">
        <v>1</v>
      </c>
      <c r="F2" s="12">
        <v>1</v>
      </c>
      <c r="G2" s="10">
        <v>1</v>
      </c>
      <c r="H2" t="s">
        <v>97</v>
      </c>
      <c r="I2" t="s">
        <v>1</v>
      </c>
      <c r="J2" t="s">
        <v>30</v>
      </c>
      <c r="K2" s="13" t="s">
        <v>17</v>
      </c>
      <c r="M2" t="s">
        <v>98</v>
      </c>
      <c r="N2" t="s">
        <v>158</v>
      </c>
      <c r="O2" t="s">
        <v>87</v>
      </c>
      <c r="P2" s="10">
        <v>12</v>
      </c>
      <c r="Q2" s="53">
        <v>12</v>
      </c>
      <c r="R2" t="s">
        <v>161</v>
      </c>
      <c r="S2" s="28">
        <v>150</v>
      </c>
      <c r="T2">
        <v>100</v>
      </c>
      <c r="U2" s="28">
        <v>158</v>
      </c>
      <c r="V2">
        <v>0</v>
      </c>
      <c r="W2" s="28">
        <v>0</v>
      </c>
      <c r="X2" s="28">
        <v>0</v>
      </c>
      <c r="Y2" s="28">
        <v>0</v>
      </c>
      <c r="Z2" s="28">
        <v>0</v>
      </c>
      <c r="AA2" s="28">
        <v>308</v>
      </c>
      <c r="AB2" s="15" t="s">
        <v>157</v>
      </c>
      <c r="AC2" s="25" t="s">
        <v>118</v>
      </c>
      <c r="AD2" s="17" t="s">
        <v>118</v>
      </c>
      <c r="AE2" s="17"/>
    </row>
    <row r="3" spans="1:31" x14ac:dyDescent="0.25">
      <c r="A3" s="15" t="s">
        <v>157</v>
      </c>
      <c r="B3" s="15" t="s">
        <v>115</v>
      </c>
      <c r="C3" s="15" t="s">
        <v>156</v>
      </c>
      <c r="D3" s="12">
        <v>12</v>
      </c>
      <c r="E3" s="12">
        <v>3</v>
      </c>
      <c r="F3" s="12">
        <v>3</v>
      </c>
      <c r="G3" s="10">
        <v>1</v>
      </c>
      <c r="H3" t="s">
        <v>168</v>
      </c>
      <c r="I3" t="s">
        <v>1</v>
      </c>
      <c r="J3" t="s">
        <v>29</v>
      </c>
      <c r="K3" s="13" t="s">
        <v>17</v>
      </c>
      <c r="M3" t="s">
        <v>98</v>
      </c>
      <c r="N3" t="s">
        <v>167</v>
      </c>
      <c r="O3" t="s">
        <v>96</v>
      </c>
      <c r="P3" s="10">
        <v>10</v>
      </c>
      <c r="Q3" s="53">
        <v>10</v>
      </c>
      <c r="R3" t="s">
        <v>165</v>
      </c>
      <c r="S3" s="28">
        <v>150</v>
      </c>
      <c r="T3">
        <v>100</v>
      </c>
      <c r="U3" s="28">
        <v>155</v>
      </c>
      <c r="V3">
        <v>0</v>
      </c>
      <c r="W3" s="28">
        <v>0</v>
      </c>
      <c r="X3" s="28">
        <v>50</v>
      </c>
      <c r="Y3" s="28">
        <v>25</v>
      </c>
      <c r="Z3" s="28">
        <v>50</v>
      </c>
      <c r="AA3" s="28">
        <v>430</v>
      </c>
      <c r="AB3" s="15" t="s">
        <v>157</v>
      </c>
      <c r="AC3" s="25" t="s">
        <v>118</v>
      </c>
      <c r="AD3" s="17" t="s">
        <v>118</v>
      </c>
      <c r="AE3" s="17"/>
    </row>
    <row r="4" spans="1:31" x14ac:dyDescent="0.25">
      <c r="A4" s="15" t="s">
        <v>157</v>
      </c>
      <c r="E4" s="12">
        <v>125</v>
      </c>
      <c r="F4" s="12">
        <v>125</v>
      </c>
      <c r="G4" s="10">
        <v>12</v>
      </c>
      <c r="H4" t="s">
        <v>171</v>
      </c>
      <c r="J4" t="s">
        <v>29</v>
      </c>
      <c r="K4" s="13" t="s">
        <v>17</v>
      </c>
      <c r="M4" t="s">
        <v>98</v>
      </c>
      <c r="N4" t="s">
        <v>158</v>
      </c>
      <c r="O4" t="s">
        <v>87</v>
      </c>
      <c r="P4" s="10">
        <v>50</v>
      </c>
      <c r="R4" t="s">
        <v>161</v>
      </c>
      <c r="AB4" s="15" t="s">
        <v>115</v>
      </c>
      <c r="AC4" s="25" t="s">
        <v>118</v>
      </c>
      <c r="AD4" s="17" t="s">
        <v>118</v>
      </c>
      <c r="AE4" s="17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BC1C1-DB1B-4E73-8B1C-ADB7FA0933E1}">
  <sheetPr codeName="Planilha15"/>
  <dimension ref="A1:R11"/>
  <sheetViews>
    <sheetView workbookViewId="0">
      <selection sqref="A1:R1"/>
    </sheetView>
  </sheetViews>
  <sheetFormatPr defaultRowHeight="15" x14ac:dyDescent="0.25"/>
  <cols>
    <col min="1" max="3" width="22.7109375" customWidth="1"/>
    <col min="4" max="4" width="22.7109375" style="54" customWidth="1"/>
    <col min="5" max="13" width="22.7109375" style="17" customWidth="1"/>
    <col min="14" max="18" width="22.7109375" customWidth="1"/>
  </cols>
  <sheetData>
    <row r="1" spans="1:18" x14ac:dyDescent="0.25">
      <c r="A1" s="18" t="s">
        <v>125</v>
      </c>
      <c r="B1" s="18" t="s">
        <v>54</v>
      </c>
      <c r="C1" s="18" t="s">
        <v>128</v>
      </c>
      <c r="D1" s="18" t="s">
        <v>103</v>
      </c>
      <c r="E1" s="16" t="s">
        <v>63</v>
      </c>
      <c r="F1" s="16" t="s">
        <v>65</v>
      </c>
      <c r="G1" s="16" t="s">
        <v>68</v>
      </c>
      <c r="H1" s="16" t="s">
        <v>69</v>
      </c>
      <c r="I1" s="16" t="s">
        <v>53</v>
      </c>
      <c r="J1" s="16" t="s">
        <v>116</v>
      </c>
      <c r="K1" s="16" t="s">
        <v>141</v>
      </c>
      <c r="L1" s="16" t="s">
        <v>70</v>
      </c>
      <c r="M1" s="16" t="s">
        <v>71</v>
      </c>
      <c r="N1" s="27" t="s">
        <v>126</v>
      </c>
      <c r="O1" s="27" t="s">
        <v>127</v>
      </c>
      <c r="P1" s="27" t="s">
        <v>117</v>
      </c>
      <c r="Q1" s="27" t="s">
        <v>100</v>
      </c>
      <c r="R1" s="27" t="s">
        <v>101</v>
      </c>
    </row>
    <row r="2" spans="1:18" x14ac:dyDescent="0.25">
      <c r="A2" t="s">
        <v>74</v>
      </c>
      <c r="B2">
        <v>45</v>
      </c>
      <c r="D2" s="15">
        <v>43831</v>
      </c>
      <c r="E2" s="17">
        <v>602.1</v>
      </c>
      <c r="F2" s="17">
        <v>11</v>
      </c>
      <c r="G2" s="17">
        <v>11</v>
      </c>
      <c r="H2" s="17">
        <v>223</v>
      </c>
      <c r="I2" s="17">
        <v>223</v>
      </c>
      <c r="J2" s="17">
        <v>11</v>
      </c>
      <c r="K2" s="17">
        <v>223</v>
      </c>
      <c r="L2" s="17">
        <v>11</v>
      </c>
      <c r="M2" s="17">
        <v>223</v>
      </c>
      <c r="N2" s="1">
        <v>44234</v>
      </c>
      <c r="O2" t="s">
        <v>129</v>
      </c>
      <c r="P2" t="s">
        <v>169</v>
      </c>
      <c r="Q2" s="1">
        <v>44248</v>
      </c>
      <c r="R2" t="s">
        <v>161</v>
      </c>
    </row>
    <row r="3" spans="1:18" x14ac:dyDescent="0.25">
      <c r="A3" t="s">
        <v>158</v>
      </c>
      <c r="B3">
        <v>2</v>
      </c>
      <c r="D3" s="15" t="s">
        <v>157</v>
      </c>
      <c r="E3" s="28">
        <v>150</v>
      </c>
      <c r="F3" s="28">
        <v>158</v>
      </c>
      <c r="G3" s="28">
        <v>0</v>
      </c>
      <c r="H3" s="28">
        <v>0</v>
      </c>
      <c r="L3" s="28">
        <v>0</v>
      </c>
      <c r="M3" s="28">
        <v>308</v>
      </c>
      <c r="N3" s="1">
        <v>44248</v>
      </c>
      <c r="O3" t="s">
        <v>129</v>
      </c>
      <c r="P3" t="s">
        <v>118</v>
      </c>
      <c r="Q3" s="1"/>
      <c r="R3" t="s">
        <v>161</v>
      </c>
    </row>
    <row r="4" spans="1:18" x14ac:dyDescent="0.25">
      <c r="A4" t="s">
        <v>158</v>
      </c>
      <c r="B4">
        <v>1</v>
      </c>
      <c r="D4" s="15" t="s">
        <v>157</v>
      </c>
      <c r="E4" s="28">
        <v>150</v>
      </c>
      <c r="F4" s="28">
        <v>158</v>
      </c>
      <c r="G4" s="28">
        <v>0</v>
      </c>
      <c r="H4" s="28">
        <v>0</v>
      </c>
      <c r="L4" s="28">
        <v>0</v>
      </c>
      <c r="M4" s="28">
        <v>308</v>
      </c>
      <c r="N4" s="1">
        <v>44248</v>
      </c>
      <c r="O4" t="s">
        <v>129</v>
      </c>
      <c r="P4" t="s">
        <v>118</v>
      </c>
      <c r="Q4" s="1"/>
      <c r="R4" t="s">
        <v>161</v>
      </c>
    </row>
    <row r="5" spans="1:18" x14ac:dyDescent="0.25">
      <c r="A5" t="s">
        <v>167</v>
      </c>
      <c r="B5">
        <v>3</v>
      </c>
      <c r="D5" s="15" t="s">
        <v>115</v>
      </c>
      <c r="E5" s="28">
        <v>150</v>
      </c>
      <c r="F5" s="28">
        <v>155</v>
      </c>
      <c r="G5" s="28">
        <v>50</v>
      </c>
      <c r="H5" s="28">
        <v>25</v>
      </c>
      <c r="L5" s="28">
        <v>50</v>
      </c>
      <c r="M5" s="28">
        <v>430</v>
      </c>
      <c r="N5" s="1">
        <v>44249</v>
      </c>
      <c r="O5" t="s">
        <v>139</v>
      </c>
      <c r="P5" t="s">
        <v>169</v>
      </c>
      <c r="Q5" s="1">
        <v>44249</v>
      </c>
      <c r="R5" t="s">
        <v>165</v>
      </c>
    </row>
    <row r="11" spans="1:18" x14ac:dyDescent="0.25">
      <c r="D11"/>
      <c r="E11"/>
      <c r="F11"/>
      <c r="G11"/>
      <c r="H11"/>
      <c r="I11"/>
      <c r="J11"/>
      <c r="K11"/>
      <c r="L11"/>
      <c r="M1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32F7-3B96-49A4-AECF-4412229E2C60}">
  <sheetPr codeName="Planilha18"/>
  <dimension ref="A1:AA9"/>
  <sheetViews>
    <sheetView showGridLines="0" workbookViewId="0">
      <selection activeCell="C14" sqref="C14"/>
    </sheetView>
  </sheetViews>
  <sheetFormatPr defaultRowHeight="15" x14ac:dyDescent="0.25"/>
  <cols>
    <col min="1" max="1" width="18.140625" bestFit="1" customWidth="1"/>
    <col min="2" max="2" width="15.85546875" bestFit="1" customWidth="1"/>
    <col min="3" max="3" width="11.42578125" bestFit="1" customWidth="1"/>
    <col min="4" max="4" width="10.7109375" bestFit="1" customWidth="1"/>
    <col min="5" max="5" width="14.28515625" style="17" bestFit="1" customWidth="1"/>
    <col min="6" max="6" width="18" style="17" bestFit="1" customWidth="1"/>
    <col min="7" max="7" width="15.42578125" style="17" bestFit="1" customWidth="1"/>
    <col min="8" max="8" width="11.7109375" style="17" bestFit="1" customWidth="1"/>
    <col min="9" max="9" width="11.85546875" style="17" bestFit="1" customWidth="1"/>
    <col min="10" max="10" width="12.28515625" style="17" bestFit="1" customWidth="1"/>
    <col min="11" max="11" width="18.5703125" style="17" bestFit="1" customWidth="1"/>
    <col min="12" max="12" width="19.140625" style="17" bestFit="1" customWidth="1"/>
    <col min="13" max="13" width="11.140625" style="17" bestFit="1" customWidth="1"/>
    <col min="14" max="14" width="18.140625" bestFit="1" customWidth="1"/>
    <col min="15" max="15" width="7.42578125" bestFit="1" customWidth="1"/>
    <col min="16" max="16" width="10" bestFit="1" customWidth="1"/>
    <col min="17" max="17" width="17.28515625" bestFit="1" customWidth="1"/>
    <col min="18" max="18" width="15" bestFit="1" customWidth="1"/>
    <col min="19" max="30" width="7.5703125" customWidth="1"/>
  </cols>
  <sheetData>
    <row r="1" spans="1:27" ht="36" customHeight="1" thickBot="1" x14ac:dyDescent="0.4">
      <c r="A1" s="61" t="s">
        <v>140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24"/>
      <c r="S1" s="24"/>
      <c r="T1" s="24"/>
      <c r="U1" s="24"/>
      <c r="V1" s="24"/>
      <c r="W1" s="24"/>
      <c r="X1" s="24"/>
      <c r="Y1" s="24"/>
      <c r="Z1" s="24"/>
      <c r="AA1" s="24"/>
    </row>
    <row r="2" spans="1:27" x14ac:dyDescent="0.25">
      <c r="B2" s="21"/>
      <c r="C2" s="19"/>
      <c r="D2" s="21"/>
      <c r="F2" s="37" t="s">
        <v>103</v>
      </c>
      <c r="G2" s="37" t="s">
        <v>103</v>
      </c>
      <c r="H2" s="38" t="s">
        <v>125</v>
      </c>
      <c r="I2" s="38" t="s">
        <v>101</v>
      </c>
      <c r="J2" s="38" t="s">
        <v>117</v>
      </c>
      <c r="K2" s="38" t="s">
        <v>127</v>
      </c>
      <c r="L2" s="42"/>
      <c r="M2" s="42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22"/>
      <c r="AA2" s="22"/>
    </row>
    <row r="3" spans="1:27" x14ac:dyDescent="0.25">
      <c r="A3" s="20" t="s">
        <v>119</v>
      </c>
      <c r="B3" s="63"/>
      <c r="C3" s="63"/>
      <c r="D3" s="63"/>
      <c r="E3" s="33"/>
      <c r="F3" s="39" t="str">
        <f>"&gt;="&amp;IF($B$2="",0,$B$2)</f>
        <v>&gt;=0</v>
      </c>
      <c r="G3" s="39" t="str">
        <f>"&lt;="&amp;IF($D$2="",99999,$D$2)</f>
        <v>&lt;=99999</v>
      </c>
      <c r="H3" s="39" t="str">
        <f>IF($B$3&lt;&gt;"",$B$3,"")</f>
        <v/>
      </c>
      <c r="I3" s="39" t="str">
        <f>IF($B$4&lt;&gt;"",$B$4,"")</f>
        <v/>
      </c>
      <c r="J3" s="39" t="str">
        <f>IF($B$5&lt;&gt;"",$B$5,"")</f>
        <v>Aberto</v>
      </c>
      <c r="K3" s="39" t="str">
        <f>IF($B$6&lt;&gt;"",$B$6,"")</f>
        <v/>
      </c>
      <c r="L3" s="42"/>
      <c r="M3" s="42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22"/>
      <c r="AA3" s="22"/>
    </row>
    <row r="4" spans="1:27" x14ac:dyDescent="0.25">
      <c r="A4" s="20" t="s">
        <v>120</v>
      </c>
      <c r="B4" s="62"/>
      <c r="C4" s="62"/>
      <c r="D4" s="62"/>
      <c r="E4" s="33"/>
      <c r="F4" s="43"/>
      <c r="G4" s="42"/>
      <c r="H4" s="44"/>
      <c r="I4" s="44"/>
      <c r="J4" s="44"/>
      <c r="K4" s="44"/>
      <c r="L4" s="42"/>
      <c r="M4" s="42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22"/>
      <c r="AA4" s="22"/>
    </row>
    <row r="5" spans="1:27" x14ac:dyDescent="0.25">
      <c r="A5" s="23" t="s">
        <v>122</v>
      </c>
      <c r="B5" s="62" t="s">
        <v>118</v>
      </c>
      <c r="C5" s="62"/>
      <c r="D5" s="20" t="s">
        <v>134</v>
      </c>
      <c r="E5" s="35"/>
      <c r="F5" s="45"/>
      <c r="G5" s="42"/>
      <c r="H5" s="42"/>
      <c r="I5" s="42"/>
      <c r="J5" s="42"/>
      <c r="K5" s="42"/>
      <c r="L5" s="42"/>
      <c r="M5" s="42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22"/>
      <c r="AA5" s="22"/>
    </row>
    <row r="6" spans="1:27" x14ac:dyDescent="0.25">
      <c r="A6" s="23" t="s">
        <v>132</v>
      </c>
      <c r="B6" s="62"/>
      <c r="C6" s="62"/>
      <c r="D6" t="s">
        <v>133</v>
      </c>
      <c r="E6" s="36"/>
      <c r="F6" s="46"/>
      <c r="G6" s="42"/>
      <c r="H6" s="42"/>
      <c r="I6" s="42"/>
      <c r="J6" s="42"/>
      <c r="K6" s="42"/>
      <c r="L6" s="42"/>
      <c r="M6" s="34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</row>
    <row r="7" spans="1:27" x14ac:dyDescent="0.25">
      <c r="A7" s="31" t="s">
        <v>125</v>
      </c>
      <c r="B7" s="27" t="s">
        <v>54</v>
      </c>
      <c r="C7" s="27" t="s">
        <v>128</v>
      </c>
      <c r="D7" s="18" t="s">
        <v>103</v>
      </c>
      <c r="E7" s="18" t="s">
        <v>63</v>
      </c>
      <c r="F7" s="18" t="s">
        <v>65</v>
      </c>
      <c r="G7" s="18" t="s">
        <v>68</v>
      </c>
      <c r="H7" s="18" t="s">
        <v>69</v>
      </c>
      <c r="I7" s="18" t="s">
        <v>53</v>
      </c>
      <c r="J7" s="18" t="s">
        <v>116</v>
      </c>
      <c r="K7" s="18" t="s">
        <v>141</v>
      </c>
      <c r="L7" s="18" t="s">
        <v>70</v>
      </c>
      <c r="M7" s="18" t="s">
        <v>71</v>
      </c>
      <c r="N7" s="18" t="s">
        <v>126</v>
      </c>
      <c r="O7" s="18" t="s">
        <v>127</v>
      </c>
      <c r="P7" s="18" t="s">
        <v>117</v>
      </c>
      <c r="Q7" s="18" t="s">
        <v>100</v>
      </c>
      <c r="R7" s="32" t="s">
        <v>101</v>
      </c>
    </row>
    <row r="8" spans="1:27" x14ac:dyDescent="0.25">
      <c r="A8" t="s">
        <v>158</v>
      </c>
      <c r="B8">
        <v>2</v>
      </c>
      <c r="D8" s="15" t="s">
        <v>157</v>
      </c>
      <c r="E8" s="28">
        <v>150</v>
      </c>
      <c r="F8" s="28">
        <v>158</v>
      </c>
      <c r="G8" s="28">
        <v>0</v>
      </c>
      <c r="H8" s="28">
        <v>0</v>
      </c>
      <c r="L8" s="28">
        <v>0</v>
      </c>
      <c r="M8" s="28">
        <v>308</v>
      </c>
      <c r="N8" s="1">
        <v>44248</v>
      </c>
      <c r="O8" t="s">
        <v>129</v>
      </c>
      <c r="P8" t="s">
        <v>118</v>
      </c>
      <c r="Q8" s="1"/>
      <c r="R8" t="s">
        <v>161</v>
      </c>
    </row>
    <row r="9" spans="1:27" x14ac:dyDescent="0.25">
      <c r="A9" t="s">
        <v>158</v>
      </c>
      <c r="B9">
        <v>1</v>
      </c>
      <c r="D9" s="15" t="s">
        <v>157</v>
      </c>
      <c r="E9" s="28">
        <v>150</v>
      </c>
      <c r="F9" s="28">
        <v>158</v>
      </c>
      <c r="G9" s="28">
        <v>0</v>
      </c>
      <c r="H9" s="28">
        <v>0</v>
      </c>
      <c r="L9" s="28">
        <v>0</v>
      </c>
      <c r="M9" s="28">
        <v>308</v>
      </c>
      <c r="N9" s="1">
        <v>44248</v>
      </c>
      <c r="O9" t="s">
        <v>129</v>
      </c>
      <c r="P9" t="s">
        <v>118</v>
      </c>
      <c r="Q9" s="1"/>
      <c r="R9" t="s">
        <v>161</v>
      </c>
    </row>
  </sheetData>
  <autoFilter ref="A7:R7" xr:uid="{F1190A43-5E1B-4D50-B7C1-F717B524179C}"/>
  <mergeCells count="5">
    <mergeCell ref="A1:Q1"/>
    <mergeCell ref="B3:D3"/>
    <mergeCell ref="B4:D4"/>
    <mergeCell ref="B5:C5"/>
    <mergeCell ref="B6:C6"/>
  </mergeCells>
  <dataValidations count="2">
    <dataValidation type="list" allowBlank="1" showInputMessage="1" showErrorMessage="1" sqref="B4:D4" xr:uid="{2A990274-720B-43B2-8EF8-4B3906A0509F}">
      <formula1>Seguradora</formula1>
    </dataValidation>
    <dataValidation type="list" allowBlank="1" showInputMessage="1" showErrorMessage="1" sqref="B3:D3" xr:uid="{E6E5D0D1-8C15-4B04-BF09-F71B3FE8E892}">
      <formula1>Perito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21ECA-261E-45F7-9BC1-B357588D2331}">
  <sheetPr codeName="Planilha17"/>
  <dimension ref="A1:AG9"/>
  <sheetViews>
    <sheetView tabSelected="1" workbookViewId="0">
      <selection activeCell="E16" sqref="E16"/>
    </sheetView>
  </sheetViews>
  <sheetFormatPr defaultRowHeight="15" x14ac:dyDescent="0.25"/>
  <cols>
    <col min="1" max="1" width="21.42578125" customWidth="1"/>
    <col min="2" max="5" width="15.5703125" bestFit="1" customWidth="1"/>
    <col min="6" max="6" width="17.85546875" bestFit="1" customWidth="1"/>
    <col min="7" max="7" width="11.42578125" customWidth="1"/>
    <col min="16" max="16" width="18.42578125" bestFit="1" customWidth="1"/>
    <col min="18" max="18" width="17.5703125" bestFit="1" customWidth="1"/>
    <col min="19" max="19" width="11.7109375" bestFit="1" customWidth="1"/>
    <col min="21" max="21" width="12.5703125" customWidth="1"/>
    <col min="22" max="22" width="11.7109375" customWidth="1"/>
    <col min="24" max="24" width="11.7109375" bestFit="1" customWidth="1"/>
    <col min="27" max="28" width="10.140625" bestFit="1" customWidth="1"/>
    <col min="29" max="30" width="11.7109375" bestFit="1" customWidth="1"/>
    <col min="31" max="31" width="9.7109375" bestFit="1" customWidth="1"/>
    <col min="32" max="32" width="13.140625" bestFit="1" customWidth="1"/>
    <col min="33" max="33" width="9.140625" bestFit="1" customWidth="1"/>
  </cols>
  <sheetData>
    <row r="1" spans="1:33" ht="38.25" customHeight="1" x14ac:dyDescent="0.25"/>
    <row r="2" spans="1:33" x14ac:dyDescent="0.25">
      <c r="A2" s="40" t="s">
        <v>125</v>
      </c>
      <c r="B2" s="40" t="s">
        <v>70</v>
      </c>
      <c r="C2" s="40" t="s">
        <v>136</v>
      </c>
      <c r="D2" s="40" t="s">
        <v>54</v>
      </c>
      <c r="E2" s="40" t="s">
        <v>128</v>
      </c>
      <c r="F2" s="40" t="s">
        <v>103</v>
      </c>
      <c r="G2" s="40" t="s">
        <v>137</v>
      </c>
      <c r="H2" s="40" t="s">
        <v>65</v>
      </c>
      <c r="I2" s="40" t="s">
        <v>68</v>
      </c>
      <c r="J2" s="40" t="s">
        <v>69</v>
      </c>
      <c r="K2" s="40" t="s">
        <v>138</v>
      </c>
      <c r="L2" s="40" t="s">
        <v>116</v>
      </c>
      <c r="M2" s="40" t="s">
        <v>71</v>
      </c>
      <c r="N2" s="40" t="s">
        <v>127</v>
      </c>
      <c r="O2" s="40" t="s">
        <v>117</v>
      </c>
      <c r="P2" s="40" t="s">
        <v>101</v>
      </c>
      <c r="R2" s="64" t="s">
        <v>142</v>
      </c>
      <c r="S2" s="64"/>
      <c r="U2" s="64" t="s">
        <v>145</v>
      </c>
      <c r="V2" s="64"/>
      <c r="W2" s="64" t="s">
        <v>146</v>
      </c>
      <c r="X2" s="64"/>
      <c r="Z2" s="47" t="s">
        <v>150</v>
      </c>
      <c r="AA2" s="47" t="s">
        <v>147</v>
      </c>
      <c r="AB2" s="47" t="s">
        <v>148</v>
      </c>
      <c r="AC2" s="47" t="s">
        <v>149</v>
      </c>
      <c r="AD2" s="47" t="s">
        <v>151</v>
      </c>
      <c r="AE2" s="47" t="s">
        <v>152</v>
      </c>
      <c r="AF2" s="47" t="s">
        <v>153</v>
      </c>
      <c r="AG2" s="47" t="s">
        <v>154</v>
      </c>
    </row>
    <row r="3" spans="1:33" x14ac:dyDescent="0.25">
      <c r="A3" t="s">
        <v>158</v>
      </c>
      <c r="B3">
        <v>0</v>
      </c>
      <c r="C3" t="s">
        <v>135</v>
      </c>
      <c r="D3">
        <v>1</v>
      </c>
      <c r="E3" t="s">
        <v>135</v>
      </c>
      <c r="F3" t="s">
        <v>157</v>
      </c>
      <c r="G3">
        <v>150</v>
      </c>
      <c r="H3">
        <v>158</v>
      </c>
      <c r="I3">
        <v>0</v>
      </c>
      <c r="J3">
        <v>0</v>
      </c>
      <c r="K3" t="s">
        <v>135</v>
      </c>
      <c r="L3" t="s">
        <v>135</v>
      </c>
      <c r="M3">
        <v>308</v>
      </c>
      <c r="N3" t="s">
        <v>129</v>
      </c>
      <c r="O3" t="s">
        <v>118</v>
      </c>
      <c r="P3" t="s">
        <v>161</v>
      </c>
      <c r="R3" s="29" t="s">
        <v>161</v>
      </c>
      <c r="S3" s="17">
        <f>SUMIF(P:P,$R3,M:M)</f>
        <v>924</v>
      </c>
      <c r="U3" t="s">
        <v>129</v>
      </c>
      <c r="V3" s="17">
        <f>SUMIF(N:N,U3,M:M)</f>
        <v>924</v>
      </c>
      <c r="W3" s="49" t="s">
        <v>158</v>
      </c>
      <c r="X3" s="17">
        <f>SUMIF(A:A,W3,G:G)</f>
        <v>450</v>
      </c>
      <c r="Z3" s="49" t="s">
        <v>158</v>
      </c>
      <c r="AA3" s="17">
        <f>SUMIF($A:$A,$Z3,I:I)</f>
        <v>0</v>
      </c>
      <c r="AB3" s="17">
        <f>SUMIF($A:$A,$Z3,$I:$I)</f>
        <v>0</v>
      </c>
      <c r="AC3" s="17">
        <f t="shared" ref="AC3:AE4" si="0">SUMIF($A:$A,$Z3,J:J)</f>
        <v>0</v>
      </c>
      <c r="AD3" s="17">
        <f t="shared" si="0"/>
        <v>0</v>
      </c>
      <c r="AE3" s="17">
        <f t="shared" si="0"/>
        <v>0</v>
      </c>
      <c r="AF3" s="17">
        <f>SUMIF($A:$A,$Z3,C:C)</f>
        <v>0</v>
      </c>
      <c r="AG3" s="17">
        <f>SUMIF($A:$A,$Z3,B:B)</f>
        <v>0</v>
      </c>
    </row>
    <row r="4" spans="1:33" x14ac:dyDescent="0.25">
      <c r="A4" t="s">
        <v>158</v>
      </c>
      <c r="B4">
        <v>0</v>
      </c>
      <c r="C4" t="s">
        <v>135</v>
      </c>
      <c r="D4">
        <v>2</v>
      </c>
      <c r="E4" t="s">
        <v>135</v>
      </c>
      <c r="F4" t="s">
        <v>157</v>
      </c>
      <c r="G4">
        <v>150</v>
      </c>
      <c r="H4">
        <v>158</v>
      </c>
      <c r="I4">
        <v>0</v>
      </c>
      <c r="J4">
        <v>0</v>
      </c>
      <c r="K4" t="s">
        <v>135</v>
      </c>
      <c r="L4" t="s">
        <v>135</v>
      </c>
      <c r="M4">
        <v>308</v>
      </c>
      <c r="N4" t="s">
        <v>129</v>
      </c>
      <c r="O4" t="s">
        <v>169</v>
      </c>
      <c r="P4" t="s">
        <v>161</v>
      </c>
      <c r="R4" s="30" t="s">
        <v>165</v>
      </c>
      <c r="S4" s="17">
        <f>SUMIF(P:P,$R4,M:M)</f>
        <v>430</v>
      </c>
      <c r="U4" t="s">
        <v>139</v>
      </c>
      <c r="V4" s="17">
        <f>SUMIF(M:M,U4,L:L)</f>
        <v>0</v>
      </c>
      <c r="W4" s="50" t="s">
        <v>167</v>
      </c>
      <c r="X4" s="17">
        <f>SUMIF(A:A,W4,G:G)</f>
        <v>150</v>
      </c>
      <c r="Z4" s="50" t="s">
        <v>167</v>
      </c>
      <c r="AA4" s="17">
        <f>SUMIF($A:$A,$Z4,I:I)</f>
        <v>50</v>
      </c>
      <c r="AB4" s="17">
        <f>SUMIF($A:$A,$Z4,$I:$I)</f>
        <v>50</v>
      </c>
      <c r="AC4" s="17">
        <f t="shared" si="0"/>
        <v>25</v>
      </c>
      <c r="AD4" s="17">
        <f t="shared" si="0"/>
        <v>0</v>
      </c>
      <c r="AE4" s="17">
        <f t="shared" si="0"/>
        <v>0</v>
      </c>
      <c r="AF4" s="17">
        <f>SUMIF($A:$A,$Z4,C:C)</f>
        <v>0</v>
      </c>
      <c r="AG4" s="17">
        <f>SUMIF($A:$A,$Z4,B:B)</f>
        <v>50</v>
      </c>
    </row>
    <row r="5" spans="1:33" x14ac:dyDescent="0.25">
      <c r="A5" t="s">
        <v>158</v>
      </c>
      <c r="B5">
        <v>0</v>
      </c>
      <c r="C5" t="s">
        <v>135</v>
      </c>
      <c r="D5">
        <v>4</v>
      </c>
      <c r="E5" t="s">
        <v>135</v>
      </c>
      <c r="F5" t="s">
        <v>157</v>
      </c>
      <c r="G5">
        <v>150</v>
      </c>
      <c r="H5">
        <v>158</v>
      </c>
      <c r="I5">
        <v>0</v>
      </c>
      <c r="J5">
        <v>0</v>
      </c>
      <c r="K5" t="s">
        <v>135</v>
      </c>
      <c r="L5" t="s">
        <v>135</v>
      </c>
      <c r="M5">
        <v>308</v>
      </c>
      <c r="N5" t="s">
        <v>129</v>
      </c>
      <c r="O5" t="s">
        <v>118</v>
      </c>
      <c r="P5" t="s">
        <v>161</v>
      </c>
      <c r="R5" s="29"/>
      <c r="S5" s="17">
        <f t="shared" ref="S5:S9" si="1">SUMIF(P:P,$R5,M:M)</f>
        <v>0</v>
      </c>
      <c r="W5" s="49"/>
      <c r="X5" s="17">
        <f t="shared" ref="X5:X6" si="2">SUMIF(A:A,W5,G:G)</f>
        <v>0</v>
      </c>
      <c r="Z5" s="49"/>
      <c r="AA5" s="17">
        <f t="shared" ref="AA5:AA6" si="3">SUMIF($A:$A,$Z5,I:I)</f>
        <v>0</v>
      </c>
      <c r="AB5" s="17">
        <f t="shared" ref="AB5:AB6" si="4">SUMIF($A:$A,$Z5,$I:$I)</f>
        <v>0</v>
      </c>
      <c r="AC5" s="17">
        <f t="shared" ref="AC5:AC6" si="5">SUMIF($A:$A,$Z5,J:J)</f>
        <v>0</v>
      </c>
      <c r="AD5" s="17">
        <f t="shared" ref="AD5:AD6" si="6">SUMIF($A:$A,$Z5,K:K)</f>
        <v>0</v>
      </c>
      <c r="AE5" s="17">
        <f t="shared" ref="AE5:AE6" si="7">SUMIF($A:$A,$Z5,L:L)</f>
        <v>0</v>
      </c>
      <c r="AF5" s="17">
        <f t="shared" ref="AF5:AF6" si="8">SUMIF($A:$A,$Z5,C:C)</f>
        <v>0</v>
      </c>
      <c r="AG5" s="17">
        <f t="shared" ref="AG5:AG6" si="9">SUMIF($A:$A,$Z5,B:B)</f>
        <v>0</v>
      </c>
    </row>
    <row r="6" spans="1:33" x14ac:dyDescent="0.25">
      <c r="A6" t="s">
        <v>167</v>
      </c>
      <c r="B6">
        <v>50</v>
      </c>
      <c r="C6" t="s">
        <v>135</v>
      </c>
      <c r="D6">
        <v>3</v>
      </c>
      <c r="E6" t="s">
        <v>135</v>
      </c>
      <c r="F6" t="s">
        <v>115</v>
      </c>
      <c r="G6">
        <v>150</v>
      </c>
      <c r="H6">
        <v>155</v>
      </c>
      <c r="I6">
        <v>50</v>
      </c>
      <c r="J6">
        <v>25</v>
      </c>
      <c r="K6" t="s">
        <v>135</v>
      </c>
      <c r="L6" t="s">
        <v>135</v>
      </c>
      <c r="M6">
        <v>430</v>
      </c>
      <c r="N6" t="s">
        <v>139</v>
      </c>
      <c r="O6" t="s">
        <v>169</v>
      </c>
      <c r="P6" t="s">
        <v>165</v>
      </c>
      <c r="R6" s="30"/>
      <c r="S6" s="17">
        <f t="shared" si="1"/>
        <v>0</v>
      </c>
      <c r="W6" s="50"/>
      <c r="X6" s="17">
        <f t="shared" si="2"/>
        <v>0</v>
      </c>
      <c r="Z6" s="50"/>
      <c r="AA6" s="17">
        <f t="shared" si="3"/>
        <v>0</v>
      </c>
      <c r="AB6" s="17">
        <f t="shared" si="4"/>
        <v>0</v>
      </c>
      <c r="AC6" s="17">
        <f t="shared" si="5"/>
        <v>0</v>
      </c>
      <c r="AD6" s="17">
        <f t="shared" si="6"/>
        <v>0</v>
      </c>
      <c r="AE6" s="17">
        <f t="shared" si="7"/>
        <v>0</v>
      </c>
      <c r="AF6" s="17">
        <f t="shared" si="8"/>
        <v>0</v>
      </c>
      <c r="AG6" s="17">
        <f t="shared" si="9"/>
        <v>0</v>
      </c>
    </row>
    <row r="7" spans="1:33" x14ac:dyDescent="0.25">
      <c r="R7" s="29"/>
      <c r="S7" s="17">
        <f t="shared" si="1"/>
        <v>0</v>
      </c>
      <c r="Z7" s="51" t="s">
        <v>155</v>
      </c>
      <c r="AB7" s="17"/>
      <c r="AC7" s="17"/>
    </row>
    <row r="8" spans="1:33" x14ac:dyDescent="0.25">
      <c r="R8" s="30"/>
      <c r="S8" s="17">
        <f t="shared" si="1"/>
        <v>0</v>
      </c>
    </row>
    <row r="9" spans="1:33" x14ac:dyDescent="0.25">
      <c r="R9" s="29"/>
      <c r="S9" s="17">
        <f t="shared" si="1"/>
        <v>0</v>
      </c>
    </row>
  </sheetData>
  <mergeCells count="3">
    <mergeCell ref="R2:S2"/>
    <mergeCell ref="U2:V2"/>
    <mergeCell ref="W2:X2"/>
  </mergeCell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A0C8C-3F30-466D-BE1B-F52DA8D23DBC}">
  <sheetPr codeName="Planilha19"/>
  <dimension ref="A1:T36"/>
  <sheetViews>
    <sheetView showGridLines="0" workbookViewId="0">
      <selection activeCell="D29" sqref="D29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03B23-0DA0-4F3E-A2DE-F3631DB7BAC2}">
  <sheetPr codeName="Planilha21"/>
  <dimension ref="A1:AG20"/>
  <sheetViews>
    <sheetView workbookViewId="0">
      <selection activeCell="E5" sqref="E5"/>
    </sheetView>
  </sheetViews>
  <sheetFormatPr defaultRowHeight="15" x14ac:dyDescent="0.25"/>
  <cols>
    <col min="1" max="1" width="18" bestFit="1" customWidth="1"/>
    <col min="2" max="2" width="11.42578125" bestFit="1" customWidth="1"/>
    <col min="3" max="3" width="10.7109375" bestFit="1" customWidth="1"/>
    <col min="4" max="4" width="14.28515625" bestFit="1" customWidth="1"/>
    <col min="5" max="5" width="18" bestFit="1" customWidth="1"/>
    <col min="6" max="6" width="15.42578125" bestFit="1" customWidth="1"/>
    <col min="7" max="7" width="8.85546875" bestFit="1" customWidth="1"/>
    <col min="8" max="8" width="11.85546875" bestFit="1" customWidth="1"/>
    <col min="9" max="9" width="12.28515625" bestFit="1" customWidth="1"/>
    <col min="10" max="14" width="21.7109375" customWidth="1"/>
    <col min="15" max="15" width="18.85546875" bestFit="1" customWidth="1"/>
    <col min="16" max="16" width="15.85546875" bestFit="1" customWidth="1"/>
    <col min="17" max="17" width="3.5703125" customWidth="1"/>
    <col min="18" max="18" width="18.85546875" bestFit="1" customWidth="1"/>
    <col min="19" max="19" width="11.85546875" customWidth="1"/>
    <col min="20" max="20" width="4.42578125" customWidth="1"/>
    <col min="21" max="21" width="10.85546875" customWidth="1"/>
    <col min="22" max="22" width="11.140625" customWidth="1"/>
    <col min="27" max="28" width="10.140625" bestFit="1" customWidth="1"/>
    <col min="31" max="31" width="10.140625" bestFit="1" customWidth="1"/>
    <col min="33" max="33" width="11.7109375" bestFit="1" customWidth="1"/>
  </cols>
  <sheetData>
    <row r="1" spans="1:33" ht="56.25" customHeight="1" x14ac:dyDescent="0.25"/>
    <row r="2" spans="1:33" x14ac:dyDescent="0.25">
      <c r="A2" s="40" t="s">
        <v>125</v>
      </c>
      <c r="B2" s="40" t="s">
        <v>54</v>
      </c>
      <c r="C2" s="40" t="s">
        <v>128</v>
      </c>
      <c r="D2" s="40" t="s">
        <v>103</v>
      </c>
      <c r="E2" s="40" t="s">
        <v>63</v>
      </c>
      <c r="F2" s="40" t="s">
        <v>65</v>
      </c>
      <c r="G2" s="40" t="s">
        <v>68</v>
      </c>
      <c r="H2" s="40" t="s">
        <v>69</v>
      </c>
      <c r="I2" s="40" t="s">
        <v>53</v>
      </c>
      <c r="J2" s="40" t="s">
        <v>116</v>
      </c>
      <c r="K2" s="40" t="s">
        <v>70</v>
      </c>
      <c r="L2" s="40" t="s">
        <v>71</v>
      </c>
      <c r="M2" s="40" t="s">
        <v>127</v>
      </c>
      <c r="N2" s="40" t="s">
        <v>117</v>
      </c>
      <c r="O2" s="40" t="s">
        <v>100</v>
      </c>
      <c r="P2" s="40" t="s">
        <v>101</v>
      </c>
      <c r="R2" s="64" t="s">
        <v>142</v>
      </c>
      <c r="S2" s="64"/>
      <c r="U2" s="64" t="s">
        <v>145</v>
      </c>
      <c r="V2" s="64"/>
      <c r="W2" s="64" t="s">
        <v>146</v>
      </c>
      <c r="X2" s="64"/>
      <c r="Z2" s="48" t="s">
        <v>150</v>
      </c>
      <c r="AA2" s="48" t="s">
        <v>147</v>
      </c>
      <c r="AB2" s="48" t="s">
        <v>148</v>
      </c>
      <c r="AC2" s="48" t="s">
        <v>149</v>
      </c>
      <c r="AD2" s="48" t="s">
        <v>151</v>
      </c>
      <c r="AE2" s="48" t="s">
        <v>152</v>
      </c>
      <c r="AF2" s="48" t="s">
        <v>153</v>
      </c>
      <c r="AG2" s="48" t="s">
        <v>154</v>
      </c>
    </row>
    <row r="3" spans="1:33" x14ac:dyDescent="0.25">
      <c r="A3" t="s">
        <v>74</v>
      </c>
      <c r="B3">
        <v>45</v>
      </c>
      <c r="C3" t="s">
        <v>135</v>
      </c>
      <c r="D3" s="1">
        <v>43831</v>
      </c>
      <c r="E3">
        <v>602.1</v>
      </c>
      <c r="F3">
        <v>11</v>
      </c>
      <c r="G3">
        <v>11</v>
      </c>
      <c r="H3">
        <v>223</v>
      </c>
      <c r="I3">
        <v>223</v>
      </c>
      <c r="J3">
        <v>11</v>
      </c>
      <c r="K3">
        <v>11</v>
      </c>
      <c r="L3">
        <v>223</v>
      </c>
      <c r="M3" t="s">
        <v>129</v>
      </c>
      <c r="N3" t="s">
        <v>118</v>
      </c>
      <c r="O3" s="1">
        <v>44234</v>
      </c>
      <c r="P3" t="s">
        <v>161</v>
      </c>
      <c r="R3" s="29" t="s">
        <v>83</v>
      </c>
      <c r="S3" s="17">
        <f>SUMIF(P:P,$R3,L:L)</f>
        <v>0</v>
      </c>
      <c r="U3" t="s">
        <v>129</v>
      </c>
      <c r="V3" s="17">
        <f>SUMIF(M:M,U3,L:L)</f>
        <v>1229</v>
      </c>
      <c r="W3" s="49" t="s">
        <v>72</v>
      </c>
      <c r="X3" s="17">
        <f>SUMIF(A:A,W3,E:E)</f>
        <v>0</v>
      </c>
      <c r="Z3" s="49" t="s">
        <v>72</v>
      </c>
      <c r="AA3" s="17">
        <f>SUMIF($A:$A,$Z3,I:I)</f>
        <v>0</v>
      </c>
      <c r="AB3" s="17">
        <f>SUMIF($A:$A,$Z3,$I:$I)</f>
        <v>0</v>
      </c>
      <c r="AC3" s="17">
        <f>SUMIF($A:$A,$Z3,J:J)</f>
        <v>0</v>
      </c>
      <c r="AD3" s="17">
        <f>SUMIF($A:$A,$Z3,K:K)</f>
        <v>0</v>
      </c>
      <c r="AE3" s="17">
        <f>SUMIF($A:$A,$Z3,L:L)</f>
        <v>0</v>
      </c>
      <c r="AF3" s="17">
        <f>SUMIF($A:$A,$Z3,C:C)</f>
        <v>0</v>
      </c>
      <c r="AG3" s="17">
        <f>SUMIF($A:$A,$Z3,B:B)</f>
        <v>0</v>
      </c>
    </row>
    <row r="4" spans="1:33" x14ac:dyDescent="0.25">
      <c r="A4" t="s">
        <v>158</v>
      </c>
      <c r="B4">
        <v>2</v>
      </c>
      <c r="C4" t="s">
        <v>135</v>
      </c>
      <c r="D4" s="1" t="s">
        <v>157</v>
      </c>
      <c r="E4">
        <v>150</v>
      </c>
      <c r="F4">
        <v>158</v>
      </c>
      <c r="G4">
        <v>0</v>
      </c>
      <c r="H4">
        <v>0</v>
      </c>
      <c r="I4" t="s">
        <v>135</v>
      </c>
      <c r="J4" t="s">
        <v>135</v>
      </c>
      <c r="K4">
        <v>0</v>
      </c>
      <c r="L4">
        <v>308</v>
      </c>
      <c r="M4" t="s">
        <v>129</v>
      </c>
      <c r="N4" t="s">
        <v>118</v>
      </c>
      <c r="O4" s="1" t="s">
        <v>135</v>
      </c>
      <c r="P4" t="s">
        <v>161</v>
      </c>
      <c r="R4" s="30" t="s">
        <v>82</v>
      </c>
      <c r="S4" s="17">
        <f t="shared" ref="S4:S9" si="0">SUMIF(P:P,$R4,L:L)</f>
        <v>0</v>
      </c>
      <c r="U4" t="s">
        <v>139</v>
      </c>
      <c r="V4" s="17">
        <f>SUMIF(M:M,U4,L:L)</f>
        <v>0</v>
      </c>
      <c r="W4" s="50" t="s">
        <v>74</v>
      </c>
      <c r="X4" s="17">
        <f t="shared" ref="X4:X6" si="1">SUMIF(A:A,W4,E:E)</f>
        <v>602.1</v>
      </c>
      <c r="Z4" s="50" t="s">
        <v>74</v>
      </c>
      <c r="AA4" s="17">
        <f t="shared" ref="AA4:AA6" si="2">SUMIF($A:$A,$Z4,I:I)</f>
        <v>223</v>
      </c>
      <c r="AB4" s="17">
        <f t="shared" ref="AB4:AB6" si="3">SUMIF($A:$A,$Z4,$I:$I)</f>
        <v>223</v>
      </c>
      <c r="AC4" s="17">
        <f t="shared" ref="AC4:AC6" si="4">SUMIF($A:$A,$Z4,J:J)</f>
        <v>11</v>
      </c>
      <c r="AD4" s="17">
        <f t="shared" ref="AD4:AD6" si="5">SUMIF($A:$A,$Z4,K:K)</f>
        <v>11</v>
      </c>
      <c r="AE4" s="17">
        <f t="shared" ref="AE4:AE6" si="6">SUMIF($A:$A,$Z4,L:L)</f>
        <v>223</v>
      </c>
      <c r="AF4" s="17">
        <f t="shared" ref="AF4:AF6" si="7">SUMIF($A:$A,$Z4,C:C)</f>
        <v>0</v>
      </c>
      <c r="AG4" s="17">
        <f t="shared" ref="AG4:AG6" si="8">SUMIF($A:$A,$Z4,B:B)</f>
        <v>45</v>
      </c>
    </row>
    <row r="5" spans="1:33" x14ac:dyDescent="0.25">
      <c r="A5" t="s">
        <v>158</v>
      </c>
      <c r="B5">
        <v>1</v>
      </c>
      <c r="C5" t="s">
        <v>135</v>
      </c>
      <c r="D5" s="1" t="s">
        <v>157</v>
      </c>
      <c r="E5">
        <v>150</v>
      </c>
      <c r="F5">
        <v>158</v>
      </c>
      <c r="G5">
        <v>0</v>
      </c>
      <c r="H5">
        <v>0</v>
      </c>
      <c r="I5" t="s">
        <v>135</v>
      </c>
      <c r="J5" t="s">
        <v>135</v>
      </c>
      <c r="K5">
        <v>0</v>
      </c>
      <c r="L5">
        <v>308</v>
      </c>
      <c r="M5" t="s">
        <v>129</v>
      </c>
      <c r="N5" t="s">
        <v>118</v>
      </c>
      <c r="O5" s="1" t="s">
        <v>135</v>
      </c>
      <c r="P5" t="s">
        <v>161</v>
      </c>
      <c r="R5" s="29" t="s">
        <v>80</v>
      </c>
      <c r="S5" s="17">
        <f t="shared" si="0"/>
        <v>0</v>
      </c>
      <c r="W5" s="49" t="s">
        <v>85</v>
      </c>
      <c r="X5" s="17">
        <f t="shared" si="1"/>
        <v>0</v>
      </c>
      <c r="Z5" s="49" t="s">
        <v>85</v>
      </c>
      <c r="AA5" s="17">
        <f t="shared" si="2"/>
        <v>0</v>
      </c>
      <c r="AB5" s="17">
        <f t="shared" si="3"/>
        <v>0</v>
      </c>
      <c r="AC5" s="17">
        <f t="shared" si="4"/>
        <v>0</v>
      </c>
      <c r="AD5" s="17">
        <f t="shared" si="5"/>
        <v>0</v>
      </c>
      <c r="AE5" s="17">
        <f t="shared" si="6"/>
        <v>0</v>
      </c>
      <c r="AF5" s="17">
        <f t="shared" si="7"/>
        <v>0</v>
      </c>
      <c r="AG5" s="17">
        <f t="shared" si="8"/>
        <v>0</v>
      </c>
    </row>
    <row r="6" spans="1:33" x14ac:dyDescent="0.25">
      <c r="A6" t="s">
        <v>167</v>
      </c>
      <c r="B6">
        <v>3</v>
      </c>
      <c r="C6" t="s">
        <v>135</v>
      </c>
      <c r="D6" s="1" t="s">
        <v>115</v>
      </c>
      <c r="E6">
        <v>150</v>
      </c>
      <c r="F6">
        <v>155</v>
      </c>
      <c r="G6">
        <v>50</v>
      </c>
      <c r="H6">
        <v>25</v>
      </c>
      <c r="I6" t="s">
        <v>135</v>
      </c>
      <c r="J6" t="s">
        <v>135</v>
      </c>
      <c r="K6">
        <v>10</v>
      </c>
      <c r="L6">
        <v>390</v>
      </c>
      <c r="M6" t="s">
        <v>129</v>
      </c>
      <c r="N6" t="s">
        <v>118</v>
      </c>
      <c r="O6" s="1" t="s">
        <v>135</v>
      </c>
      <c r="P6" t="s">
        <v>135</v>
      </c>
      <c r="R6" s="30" t="s">
        <v>84</v>
      </c>
      <c r="S6" s="17">
        <f t="shared" si="0"/>
        <v>0</v>
      </c>
      <c r="W6" s="50" t="s">
        <v>86</v>
      </c>
      <c r="X6" s="17">
        <f t="shared" si="1"/>
        <v>0</v>
      </c>
      <c r="Z6" s="50" t="s">
        <v>86</v>
      </c>
      <c r="AA6" s="17">
        <f t="shared" si="2"/>
        <v>0</v>
      </c>
      <c r="AB6" s="17">
        <f t="shared" si="3"/>
        <v>0</v>
      </c>
      <c r="AC6" s="17">
        <f t="shared" si="4"/>
        <v>0</v>
      </c>
      <c r="AD6" s="17">
        <f t="shared" si="5"/>
        <v>0</v>
      </c>
      <c r="AE6" s="17">
        <f t="shared" si="6"/>
        <v>0</v>
      </c>
      <c r="AF6" s="17">
        <f t="shared" si="7"/>
        <v>0</v>
      </c>
      <c r="AG6" s="17">
        <f t="shared" si="8"/>
        <v>0</v>
      </c>
    </row>
    <row r="7" spans="1:33" x14ac:dyDescent="0.25">
      <c r="R7" s="29" t="s">
        <v>81</v>
      </c>
      <c r="S7" s="17">
        <f t="shared" si="0"/>
        <v>0</v>
      </c>
    </row>
    <row r="8" spans="1:33" x14ac:dyDescent="0.25">
      <c r="R8" s="30" t="s">
        <v>143</v>
      </c>
      <c r="S8" s="17">
        <f t="shared" si="0"/>
        <v>0</v>
      </c>
    </row>
    <row r="9" spans="1:33" x14ac:dyDescent="0.25">
      <c r="R9" s="29" t="s">
        <v>144</v>
      </c>
      <c r="S9" s="17">
        <f t="shared" si="0"/>
        <v>0</v>
      </c>
    </row>
    <row r="10" spans="1:33" x14ac:dyDescent="0.25">
      <c r="R10" s="41"/>
      <c r="S10" s="17"/>
    </row>
    <row r="11" spans="1:33" x14ac:dyDescent="0.25">
      <c r="R11" s="41"/>
      <c r="S11" s="17"/>
    </row>
    <row r="12" spans="1:33" x14ac:dyDescent="0.25">
      <c r="S12" s="17"/>
    </row>
    <row r="13" spans="1:33" x14ac:dyDescent="0.25">
      <c r="S13" s="17"/>
    </row>
    <row r="14" spans="1:33" x14ac:dyDescent="0.25">
      <c r="S14" s="17"/>
    </row>
    <row r="15" spans="1:33" x14ac:dyDescent="0.25">
      <c r="S15" s="17"/>
    </row>
    <row r="16" spans="1:33" x14ac:dyDescent="0.25">
      <c r="S16" s="17"/>
    </row>
    <row r="17" spans="19:19" x14ac:dyDescent="0.25">
      <c r="S17" s="17"/>
    </row>
    <row r="18" spans="19:19" x14ac:dyDescent="0.25">
      <c r="S18" s="17"/>
    </row>
    <row r="19" spans="19:19" x14ac:dyDescent="0.25">
      <c r="S19" s="17"/>
    </row>
    <row r="20" spans="19:19" x14ac:dyDescent="0.25">
      <c r="S20" s="17"/>
    </row>
  </sheetData>
  <mergeCells count="3">
    <mergeCell ref="R2:S2"/>
    <mergeCell ref="U2:V2"/>
    <mergeCell ref="W2:X2"/>
  </mergeCells>
  <pageMargins left="0.511811024" right="0.511811024" top="0.78740157499999996" bottom="0.78740157499999996" header="0.31496062000000002" footer="0.31496062000000002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76907-F76D-4F87-8443-74849424C077}">
  <sheetPr codeName="Planilha20"/>
  <dimension ref="A1:T38"/>
  <sheetViews>
    <sheetView showGridLines="0" topLeftCell="A16" workbookViewId="0">
      <selection activeCell="K33" sqref="K33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6795-EF80-4BFE-993A-C8838502E2C6}">
  <sheetPr codeName="Planilha1"/>
  <dimension ref="A1:F3"/>
  <sheetViews>
    <sheetView workbookViewId="0">
      <selection activeCell="B2" sqref="B2:B3"/>
    </sheetView>
  </sheetViews>
  <sheetFormatPr defaultRowHeight="15" x14ac:dyDescent="0.25"/>
  <cols>
    <col min="1" max="6" width="22" customWidth="1"/>
  </cols>
  <sheetData>
    <row r="1" spans="1:6" ht="30" customHeight="1" x14ac:dyDescent="0.25">
      <c r="A1" s="7" t="s">
        <v>0</v>
      </c>
      <c r="B1" s="7" t="s">
        <v>106</v>
      </c>
      <c r="C1" s="7" t="s">
        <v>110</v>
      </c>
      <c r="D1" s="7" t="s">
        <v>95</v>
      </c>
      <c r="E1" s="7" t="s">
        <v>111</v>
      </c>
      <c r="F1" s="7" t="s">
        <v>112</v>
      </c>
    </row>
    <row r="2" spans="1:6" x14ac:dyDescent="0.25">
      <c r="A2" t="s">
        <v>160</v>
      </c>
      <c r="B2" t="s">
        <v>161</v>
      </c>
      <c r="C2" t="s">
        <v>162</v>
      </c>
      <c r="D2" s="52">
        <v>1.58</v>
      </c>
      <c r="E2" s="52">
        <v>50</v>
      </c>
      <c r="F2" s="52">
        <v>150</v>
      </c>
    </row>
    <row r="3" spans="1:6" x14ac:dyDescent="0.25">
      <c r="A3" t="s">
        <v>164</v>
      </c>
      <c r="B3" t="s">
        <v>165</v>
      </c>
      <c r="C3" t="s">
        <v>166</v>
      </c>
      <c r="D3" s="28">
        <v>1.55</v>
      </c>
      <c r="E3" s="28">
        <v>30</v>
      </c>
      <c r="F3" s="28">
        <v>140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381-704A-44E3-8A76-D2E21AC5CAFD}">
  <sheetPr codeName="Planilha7"/>
  <dimension ref="A1:E3"/>
  <sheetViews>
    <sheetView workbookViewId="0">
      <selection activeCell="A2" sqref="A2:A3"/>
    </sheetView>
  </sheetViews>
  <sheetFormatPr defaultRowHeight="15" x14ac:dyDescent="0.25"/>
  <cols>
    <col min="1" max="1" width="35.85546875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8" customFormat="1" ht="30" customHeight="1" x14ac:dyDescent="0.25">
      <c r="A1" s="7" t="s">
        <v>106</v>
      </c>
      <c r="B1" s="7" t="s">
        <v>107</v>
      </c>
      <c r="C1" s="7" t="s">
        <v>108</v>
      </c>
      <c r="D1" s="7" t="s">
        <v>109</v>
      </c>
      <c r="E1" s="7" t="s">
        <v>73</v>
      </c>
    </row>
    <row r="2" spans="1:5" x14ac:dyDescent="0.25">
      <c r="A2" t="s">
        <v>158</v>
      </c>
      <c r="B2" t="s">
        <v>159</v>
      </c>
      <c r="C2" t="s">
        <v>75</v>
      </c>
      <c r="D2">
        <v>41255</v>
      </c>
      <c r="E2">
        <v>3627117980</v>
      </c>
    </row>
    <row r="3" spans="1:5" x14ac:dyDescent="0.25">
      <c r="A3" t="s">
        <v>167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30C3-871B-48B6-8049-A5622F3C9F82}">
  <sheetPr codeName="Planilha4"/>
  <dimension ref="A1:A15"/>
  <sheetViews>
    <sheetView workbookViewId="0">
      <selection activeCell="D23" sqref="D23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29</v>
      </c>
    </row>
    <row r="2" spans="1:1" x14ac:dyDescent="0.25">
      <c r="A2" t="s">
        <v>30</v>
      </c>
    </row>
    <row r="3" spans="1:1" x14ac:dyDescent="0.25">
      <c r="A3" t="s">
        <v>31</v>
      </c>
    </row>
    <row r="4" spans="1:1" x14ac:dyDescent="0.25">
      <c r="A4" t="s">
        <v>32</v>
      </c>
    </row>
    <row r="5" spans="1:1" x14ac:dyDescent="0.25">
      <c r="A5" t="s">
        <v>33</v>
      </c>
    </row>
    <row r="6" spans="1:1" x14ac:dyDescent="0.25">
      <c r="A6" t="s">
        <v>34</v>
      </c>
    </row>
    <row r="7" spans="1:1" x14ac:dyDescent="0.25">
      <c r="A7" t="s">
        <v>35</v>
      </c>
    </row>
    <row r="8" spans="1:1" x14ac:dyDescent="0.25">
      <c r="A8" t="s">
        <v>36</v>
      </c>
    </row>
    <row r="9" spans="1:1" x14ac:dyDescent="0.25">
      <c r="A9" t="s">
        <v>37</v>
      </c>
    </row>
    <row r="10" spans="1:1" x14ac:dyDescent="0.25">
      <c r="A10" t="s">
        <v>38</v>
      </c>
    </row>
    <row r="11" spans="1:1" x14ac:dyDescent="0.25">
      <c r="A11" t="s">
        <v>39</v>
      </c>
    </row>
    <row r="12" spans="1:1" x14ac:dyDescent="0.25">
      <c r="A12" t="s">
        <v>40</v>
      </c>
    </row>
    <row r="13" spans="1:1" x14ac:dyDescent="0.25">
      <c r="A13" t="s">
        <v>41</v>
      </c>
    </row>
    <row r="14" spans="1:1" x14ac:dyDescent="0.25">
      <c r="A14" t="s">
        <v>42</v>
      </c>
    </row>
    <row r="15" spans="1:1" x14ac:dyDescent="0.25">
      <c r="A15" t="s">
        <v>43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456D-521E-492B-A5F1-C37BBBBFE734}">
  <sheetPr codeName="Planilha11"/>
  <dimension ref="A1:A2"/>
  <sheetViews>
    <sheetView workbookViewId="0">
      <selection activeCell="G13" sqref="G13"/>
    </sheetView>
  </sheetViews>
  <sheetFormatPr defaultRowHeight="15" x14ac:dyDescent="0.25"/>
  <sheetData>
    <row r="1" spans="1:1" x14ac:dyDescent="0.25">
      <c r="A1" t="s">
        <v>98</v>
      </c>
    </row>
    <row r="2" spans="1:1" x14ac:dyDescent="0.25">
      <c r="A2" t="s">
        <v>99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CD9B-E781-4532-8BE9-0B5D05F465CA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89</v>
      </c>
    </row>
    <row r="2" spans="1:1" x14ac:dyDescent="0.25">
      <c r="A2" t="s">
        <v>90</v>
      </c>
    </row>
    <row r="3" spans="1:1" x14ac:dyDescent="0.25">
      <c r="A3" t="s">
        <v>91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D918-1642-4193-AEE0-097308E29E52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76</v>
      </c>
    </row>
    <row r="2" spans="1:1" x14ac:dyDescent="0.25">
      <c r="A2" t="s">
        <v>77</v>
      </c>
    </row>
    <row r="3" spans="1:1" x14ac:dyDescent="0.25">
      <c r="A3" t="s">
        <v>78</v>
      </c>
    </row>
    <row r="4" spans="1:1" x14ac:dyDescent="0.25">
      <c r="A4" t="s">
        <v>79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AB43-BCD4-44CA-9201-7FEB3AF6BD41}">
  <sheetPr codeName="Planilha10"/>
  <dimension ref="A1:A7"/>
  <sheetViews>
    <sheetView workbookViewId="0">
      <selection activeCell="A7" sqref="A7"/>
    </sheetView>
  </sheetViews>
  <sheetFormatPr defaultRowHeight="15" x14ac:dyDescent="0.25"/>
  <cols>
    <col min="1" max="1" width="12.140625" customWidth="1"/>
  </cols>
  <sheetData>
    <row r="1" spans="1:1" x14ac:dyDescent="0.25">
      <c r="A1" t="s">
        <v>87</v>
      </c>
    </row>
    <row r="2" spans="1:1" x14ac:dyDescent="0.25">
      <c r="A2" t="s">
        <v>96</v>
      </c>
    </row>
    <row r="3" spans="1:1" x14ac:dyDescent="0.25">
      <c r="A3" t="s">
        <v>88</v>
      </c>
    </row>
    <row r="4" spans="1:1" x14ac:dyDescent="0.25">
      <c r="A4" t="s">
        <v>90</v>
      </c>
    </row>
    <row r="5" spans="1:1" x14ac:dyDescent="0.25">
      <c r="A5" t="s">
        <v>91</v>
      </c>
    </row>
    <row r="6" spans="1:1" x14ac:dyDescent="0.25">
      <c r="A6" t="s">
        <v>92</v>
      </c>
    </row>
    <row r="7" spans="1:1" x14ac:dyDescent="0.25">
      <c r="A7" t="s">
        <v>93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F616-0D7A-4D25-9DEB-80CD2395FEC0}">
  <sheetPr codeName="Planilha3"/>
  <dimension ref="A1:A27"/>
  <sheetViews>
    <sheetView topLeftCell="A19" workbookViewId="0">
      <selection activeCell="D23" sqref="D23"/>
    </sheetView>
  </sheetViews>
  <sheetFormatPr defaultRowHeight="15" x14ac:dyDescent="0.25"/>
  <sheetData>
    <row r="1" spans="1:1" x14ac:dyDescent="0.25">
      <c r="A1" t="s">
        <v>17</v>
      </c>
    </row>
    <row r="2" spans="1:1" x14ac:dyDescent="0.25">
      <c r="A2" t="s">
        <v>2</v>
      </c>
    </row>
    <row r="3" spans="1:1" x14ac:dyDescent="0.25">
      <c r="A3" t="s">
        <v>3</v>
      </c>
    </row>
    <row r="4" spans="1:1" x14ac:dyDescent="0.25">
      <c r="A4" t="s">
        <v>4</v>
      </c>
    </row>
    <row r="5" spans="1:1" x14ac:dyDescent="0.25">
      <c r="A5" t="s">
        <v>5</v>
      </c>
    </row>
    <row r="6" spans="1:1" x14ac:dyDescent="0.25">
      <c r="A6" t="s">
        <v>6</v>
      </c>
    </row>
    <row r="7" spans="1:1" x14ac:dyDescent="0.25">
      <c r="A7" t="s">
        <v>7</v>
      </c>
    </row>
    <row r="8" spans="1:1" x14ac:dyDescent="0.25">
      <c r="A8" t="s">
        <v>8</v>
      </c>
    </row>
    <row r="9" spans="1:1" x14ac:dyDescent="0.25">
      <c r="A9" t="s">
        <v>9</v>
      </c>
    </row>
    <row r="10" spans="1:1" x14ac:dyDescent="0.25">
      <c r="A10" t="s">
        <v>10</v>
      </c>
    </row>
    <row r="11" spans="1:1" x14ac:dyDescent="0.25">
      <c r="A11" t="s">
        <v>11</v>
      </c>
    </row>
    <row r="12" spans="1:1" x14ac:dyDescent="0.25">
      <c r="A12" t="s">
        <v>12</v>
      </c>
    </row>
    <row r="13" spans="1:1" x14ac:dyDescent="0.25">
      <c r="A13" t="s">
        <v>13</v>
      </c>
    </row>
    <row r="14" spans="1:1" x14ac:dyDescent="0.25">
      <c r="A14" t="s">
        <v>14</v>
      </c>
    </row>
    <row r="15" spans="1:1" x14ac:dyDescent="0.25">
      <c r="A15" t="s">
        <v>15</v>
      </c>
    </row>
    <row r="16" spans="1:1" x14ac:dyDescent="0.25">
      <c r="A16" t="s">
        <v>16</v>
      </c>
    </row>
    <row r="17" spans="1:1" x14ac:dyDescent="0.25">
      <c r="A17" t="s">
        <v>18</v>
      </c>
    </row>
    <row r="18" spans="1:1" x14ac:dyDescent="0.25">
      <c r="A18" t="s">
        <v>19</v>
      </c>
    </row>
    <row r="19" spans="1:1" x14ac:dyDescent="0.25">
      <c r="A19" t="s">
        <v>20</v>
      </c>
    </row>
    <row r="20" spans="1:1" x14ac:dyDescent="0.25">
      <c r="A20" t="s">
        <v>21</v>
      </c>
    </row>
    <row r="21" spans="1:1" x14ac:dyDescent="0.25">
      <c r="A21" t="s">
        <v>22</v>
      </c>
    </row>
    <row r="22" spans="1:1" x14ac:dyDescent="0.25">
      <c r="A22" t="s">
        <v>23</v>
      </c>
    </row>
    <row r="23" spans="1:1" x14ac:dyDescent="0.25">
      <c r="A23" t="s">
        <v>24</v>
      </c>
    </row>
    <row r="24" spans="1:1" x14ac:dyDescent="0.25">
      <c r="A24" t="s">
        <v>25</v>
      </c>
    </row>
    <row r="25" spans="1:1" x14ac:dyDescent="0.25">
      <c r="A25" t="s">
        <v>26</v>
      </c>
    </row>
    <row r="26" spans="1:1" x14ac:dyDescent="0.25">
      <c r="A26" t="s">
        <v>27</v>
      </c>
    </row>
    <row r="27" spans="1:1" x14ac:dyDescent="0.25">
      <c r="A27" t="s">
        <v>28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17</vt:i4>
      </vt:variant>
    </vt:vector>
  </HeadingPairs>
  <TitlesOfParts>
    <vt:vector size="37" baseType="lpstr">
      <vt:lpstr>Inicial</vt:lpstr>
      <vt:lpstr>Vistoria</vt:lpstr>
      <vt:lpstr>RelContasApagar</vt:lpstr>
      <vt:lpstr>ContasApagar</vt:lpstr>
      <vt:lpstr>CadPenhor</vt:lpstr>
      <vt:lpstr>CadPericia</vt:lpstr>
      <vt:lpstr>ContasAreceber</vt:lpstr>
      <vt:lpstr>RelContasAReceber</vt:lpstr>
      <vt:lpstr>TbDinamicaApagar</vt:lpstr>
      <vt:lpstr>DashboardApagar</vt:lpstr>
      <vt:lpstr>TbDinamicaReceber</vt:lpstr>
      <vt:lpstr>DashboardAReceber</vt:lpstr>
      <vt:lpstr>CadSeguradora</vt:lpstr>
      <vt:lpstr>CadPerito</vt:lpstr>
      <vt:lpstr>Cidades</vt:lpstr>
      <vt:lpstr>Cultura</vt:lpstr>
      <vt:lpstr>Sinistro</vt:lpstr>
      <vt:lpstr>TipoBenSeg</vt:lpstr>
      <vt:lpstr>TipoVistoria</vt:lpstr>
      <vt:lpstr>Estados</vt:lpstr>
      <vt:lpstr>RelContasApagar!Area_de_extracao</vt:lpstr>
      <vt:lpstr>RelContasAReceber!Area_de_extracao</vt:lpstr>
      <vt:lpstr>cidades</vt:lpstr>
      <vt:lpstr>CadPericia!Criterios</vt:lpstr>
      <vt:lpstr>Inicial!Criterios</vt:lpstr>
      <vt:lpstr>RelContasApagar!Criterios</vt:lpstr>
      <vt:lpstr>RelContasAReceber!Criterios</vt:lpstr>
      <vt:lpstr>Vistoria!Criterios</vt:lpstr>
      <vt:lpstr>Cultura</vt:lpstr>
      <vt:lpstr>Perito</vt:lpstr>
      <vt:lpstr>SeguradoPenhor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2021-02-19T17:23:00Z</cp:lastPrinted>
  <dcterms:created xsi:type="dcterms:W3CDTF">2021-01-16T20:15:46Z</dcterms:created>
  <dcterms:modified xsi:type="dcterms:W3CDTF">2021-02-23T19:37:42Z</dcterms:modified>
</cp:coreProperties>
</file>