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VNT- Tecnologia\Excel\"/>
    </mc:Choice>
  </mc:AlternateContent>
  <xr:revisionPtr revIDLastSave="0" documentId="13_ncr:1_{32695252-1CFF-4B51-8B70-8A3C8BD25F18}" xr6:coauthVersionLast="46" xr6:coauthVersionMax="46" xr10:uidLastSave="{00000000-0000-0000-0000-000000000000}"/>
  <bookViews>
    <workbookView xWindow="20370" yWindow="-120" windowWidth="20640" windowHeight="11160" firstSheet="1" activeTab="3" xr2:uid="{E0D4B125-8ABE-41E3-AD67-A9BA722874B8}"/>
  </bookViews>
  <sheets>
    <sheet name="Inicial" sheetId="2" r:id="rId1"/>
    <sheet name="CadPericia" sheetId="6" r:id="rId2"/>
    <sheet name="RelPericiaPerito" sheetId="13" r:id="rId3"/>
    <sheet name="RelPenhoPerito" sheetId="15" r:id="rId4"/>
    <sheet name="CadPenhor" sheetId="5" r:id="rId5"/>
    <sheet name="CadPerito" sheetId="7" r:id="rId6"/>
    <sheet name="CadSeguradora" sheetId="1" r:id="rId7"/>
    <sheet name="Cidades" sheetId="4" r:id="rId8"/>
    <sheet name="Cultura" sheetId="11" r:id="rId9"/>
    <sheet name="Sinistro" sheetId="10" r:id="rId10"/>
    <sheet name="TipoBenSeg" sheetId="8" r:id="rId11"/>
    <sheet name="TipoVistoria" sheetId="9" r:id="rId12"/>
    <sheet name="Estados" sheetId="3" r:id="rId13"/>
  </sheets>
  <definedNames>
    <definedName name="_xlnm._FilterDatabase" localSheetId="4" hidden="1">CadPenhor!$A$1:$Z$18</definedName>
    <definedName name="_xlnm._FilterDatabase" localSheetId="1" hidden="1">CadPericia!$A$1:$AC$13</definedName>
    <definedName name="_xlnm.Extract" localSheetId="3">RelPenhoPerito!$A$6:$Z$6</definedName>
    <definedName name="cidades">Cidades!$A:$A</definedName>
    <definedName name="_xlnm.Criteria" localSheetId="3">RelPenhoPerito!$AB$2:$AF$3</definedName>
    <definedName name="Cultura">Cultura!$A:$A</definedName>
    <definedName name="Perito">CadPerito!$A:$A</definedName>
    <definedName name="SeguradoPenhor">CadPenhor!$G:$G</definedName>
    <definedName name="SeguradoPericia">CadPericia!$H:$H</definedName>
    <definedName name="Seguradora">CadSeguradora!$B:$B</definedName>
    <definedName name="TipoBen">TipoBenSeg!$A:$A</definedName>
    <definedName name="TipoServicos">Sinistro!$A:$A</definedName>
    <definedName name="TipoVistoria">TipoVistoria!$A:$A</definedName>
    <definedName name="uf">Estados!$A$1:$A$27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" i="15" l="1"/>
  <c r="AF3" i="15"/>
  <c r="AE3" i="15"/>
  <c r="AC3" i="15"/>
  <c r="AB3" i="15"/>
  <c r="M3" i="13"/>
  <c r="L3" i="13"/>
  <c r="K3" i="13"/>
  <c r="J3" i="13"/>
</calcChain>
</file>

<file path=xl/sharedStrings.xml><?xml version="1.0" encoding="utf-8"?>
<sst xmlns="http://schemas.openxmlformats.org/spreadsheetml/2006/main" count="547" uniqueCount="189">
  <si>
    <t>CNPJ</t>
  </si>
  <si>
    <t>www</t>
  </si>
  <si>
    <t>teste</t>
  </si>
  <si>
    <t>AC</t>
  </si>
  <si>
    <t>AL</t>
  </si>
  <si>
    <t>AP</t>
  </si>
  <si>
    <t>AM</t>
  </si>
  <si>
    <t>BA</t>
  </si>
  <si>
    <t>CE</t>
  </si>
  <si>
    <t>DF</t>
  </si>
  <si>
    <t>ES</t>
  </si>
  <si>
    <t>GO</t>
  </si>
  <si>
    <t>MA</t>
  </si>
  <si>
    <t>MT</t>
  </si>
  <si>
    <t>MS</t>
  </si>
  <si>
    <t>MG</t>
  </si>
  <si>
    <t>PA</t>
  </si>
  <si>
    <t>PB</t>
  </si>
  <si>
    <t>PR</t>
  </si>
  <si>
    <t>PE</t>
  </si>
  <si>
    <t>PI</t>
  </si>
  <si>
    <t>RJ</t>
  </si>
  <si>
    <t>RN</t>
  </si>
  <si>
    <t>RS</t>
  </si>
  <si>
    <t>RO</t>
  </si>
  <si>
    <t>RR</t>
  </si>
  <si>
    <t>SC</t>
  </si>
  <si>
    <t>SP</t>
  </si>
  <si>
    <t>SE</t>
  </si>
  <si>
    <t>TO</t>
  </si>
  <si>
    <t>Cascavel</t>
  </si>
  <si>
    <t>Toledo</t>
  </si>
  <si>
    <t>Palotina</t>
  </si>
  <si>
    <t>Maripá</t>
  </si>
  <si>
    <t>Assis Chateaubriand</t>
  </si>
  <si>
    <t>Nova Santa Rosa</t>
  </si>
  <si>
    <t>Francisco Alves</t>
  </si>
  <si>
    <t>Iporã</t>
  </si>
  <si>
    <t>Umuarama</t>
  </si>
  <si>
    <t>Goioerê</t>
  </si>
  <si>
    <t>Terra Roxa</t>
  </si>
  <si>
    <t xml:space="preserve">Guiaria </t>
  </si>
  <si>
    <t>Maringá</t>
  </si>
  <si>
    <t>Londrina</t>
  </si>
  <si>
    <t xml:space="preserve">Jesuitas </t>
  </si>
  <si>
    <t>PAGTO SEGURADORA</t>
  </si>
  <si>
    <t>NF</t>
  </si>
  <si>
    <t xml:space="preserve">DT VISTORIA </t>
  </si>
  <si>
    <t xml:space="preserve">APÓLICE </t>
  </si>
  <si>
    <t>SEGURADO</t>
  </si>
  <si>
    <t xml:space="preserve">MUNICIPIO </t>
  </si>
  <si>
    <t>UF</t>
  </si>
  <si>
    <t>NATUREZA DO SINISTRO</t>
  </si>
  <si>
    <t xml:space="preserve">PERITO </t>
  </si>
  <si>
    <t xml:space="preserve">  HONORÁRIO R$  </t>
  </si>
  <si>
    <t xml:space="preserve"> KM  </t>
  </si>
  <si>
    <t xml:space="preserve"> PEDÁGIO </t>
  </si>
  <si>
    <t xml:space="preserve"> HOTEL </t>
  </si>
  <si>
    <t xml:space="preserve"> REFEIÇÃO </t>
  </si>
  <si>
    <t xml:space="preserve"> ALUGUEL CARRO </t>
  </si>
  <si>
    <t xml:space="preserve"> OUTROS </t>
  </si>
  <si>
    <t xml:space="preserve">  TOTAL  </t>
  </si>
  <si>
    <t>rr</t>
  </si>
  <si>
    <t>f</t>
  </si>
  <si>
    <t>SINISTRO</t>
  </si>
  <si>
    <t>APÓLICE</t>
  </si>
  <si>
    <t>PROPOSTA</t>
  </si>
  <si>
    <t>OBS:</t>
  </si>
  <si>
    <t>EVENTO</t>
  </si>
  <si>
    <t>CULTURA</t>
  </si>
  <si>
    <t>VISTORIA</t>
  </si>
  <si>
    <t>AREA SEGURADA</t>
  </si>
  <si>
    <t>AREA VISTORIADA</t>
  </si>
  <si>
    <t xml:space="preserve"> HONORÁRIO R$ </t>
  </si>
  <si>
    <t>KM RODADO PERITO</t>
  </si>
  <si>
    <t>VALOR KM R$</t>
  </si>
  <si>
    <t>KM RODADO EMPRESA</t>
  </si>
  <si>
    <t>KM R$ EMPR</t>
  </si>
  <si>
    <t>HOTEL</t>
  </si>
  <si>
    <t>REFEIÇÃO</t>
  </si>
  <si>
    <t xml:space="preserve">OUTROS </t>
  </si>
  <si>
    <t xml:space="preserve"> TOTAL </t>
  </si>
  <si>
    <t>eeee</t>
  </si>
  <si>
    <t>ee</t>
  </si>
  <si>
    <t>sd</t>
  </si>
  <si>
    <t>Mario</t>
  </si>
  <si>
    <t>Seca</t>
  </si>
  <si>
    <t>ww</t>
  </si>
  <si>
    <t>Pedro antonio</t>
  </si>
  <si>
    <t>Jose</t>
  </si>
  <si>
    <t>Chuva de pedras</t>
  </si>
  <si>
    <t>Marcilio</t>
  </si>
  <si>
    <t>30/01/2021</t>
  </si>
  <si>
    <t>soja</t>
  </si>
  <si>
    <t>Pedro Silva</t>
  </si>
  <si>
    <t>milho</t>
  </si>
  <si>
    <t>CPF</t>
  </si>
  <si>
    <t>76.302.157/0001-33</t>
  </si>
  <si>
    <t>Rua dos padres</t>
  </si>
  <si>
    <t>Vinicius</t>
  </si>
  <si>
    <t xml:space="preserve">Rua Carlos dall agnolo </t>
  </si>
  <si>
    <t>(44) 99916-8055</t>
  </si>
  <si>
    <t>Maquinas</t>
  </si>
  <si>
    <t>Equipamentos</t>
  </si>
  <si>
    <t>Benfeitorias</t>
  </si>
  <si>
    <t>Produto Colhido</t>
  </si>
  <si>
    <t xml:space="preserve">José </t>
  </si>
  <si>
    <t>Maria</t>
  </si>
  <si>
    <t>chuvas granizo</t>
  </si>
  <si>
    <t>seca</t>
  </si>
  <si>
    <t>Porto seguro</t>
  </si>
  <si>
    <t>Itau</t>
  </si>
  <si>
    <t>Banco do Brasil</t>
  </si>
  <si>
    <t>Bradesco</t>
  </si>
  <si>
    <t>Banco do Brasl</t>
  </si>
  <si>
    <t>Liberty</t>
  </si>
  <si>
    <t>Cleiton</t>
  </si>
  <si>
    <t>Marcos</t>
  </si>
  <si>
    <t>Preliminar</t>
  </si>
  <si>
    <t>Final</t>
  </si>
  <si>
    <t>Sinistro</t>
  </si>
  <si>
    <t>Monitoramento</t>
  </si>
  <si>
    <t>Prévia</t>
  </si>
  <si>
    <t>BABI</t>
  </si>
  <si>
    <t>Flavio</t>
  </si>
  <si>
    <t>sorgo</t>
  </si>
  <si>
    <t>maria</t>
  </si>
  <si>
    <t>Aveia</t>
  </si>
  <si>
    <t>teste para observacao</t>
  </si>
  <si>
    <t>Paulo</t>
  </si>
  <si>
    <t>Agravamento</t>
  </si>
  <si>
    <t>Revistoria</t>
  </si>
  <si>
    <t>teste monitoramente</t>
  </si>
  <si>
    <t>Camila</t>
  </si>
  <si>
    <t>26/01/2021</t>
  </si>
  <si>
    <t>76.302.157/0001-31</t>
  </si>
  <si>
    <t>76.302.157/0001-34</t>
  </si>
  <si>
    <t>76.302.157/0001-35</t>
  </si>
  <si>
    <t>rua das palmas</t>
  </si>
  <si>
    <t>27/01/2020</t>
  </si>
  <si>
    <t>Clodoaldo</t>
  </si>
  <si>
    <t>Incendio</t>
  </si>
  <si>
    <t>Marilda</t>
  </si>
  <si>
    <t>incendio</t>
  </si>
  <si>
    <t>27/01/2021</t>
  </si>
  <si>
    <t>Roubo</t>
  </si>
  <si>
    <t>KM R$</t>
  </si>
  <si>
    <t>Preliminar/Final</t>
  </si>
  <si>
    <t>rua ral</t>
  </si>
  <si>
    <t>Rua das flores</t>
  </si>
  <si>
    <t>Pedro</t>
  </si>
  <si>
    <t>29/01/2021</t>
  </si>
  <si>
    <t>Jessica</t>
  </si>
  <si>
    <t xml:space="preserve">Soja </t>
  </si>
  <si>
    <t>Milho</t>
  </si>
  <si>
    <t>Seca geada</t>
  </si>
  <si>
    <t>Seca e geada</t>
  </si>
  <si>
    <t>DT RECEBIMENTO</t>
  </si>
  <si>
    <t>SEGURADORA</t>
  </si>
  <si>
    <t>TIPO DO BEN</t>
  </si>
  <si>
    <t>DT VISTORIA</t>
  </si>
  <si>
    <t xml:space="preserve">DT ENTREGA </t>
  </si>
  <si>
    <t>DT REVISTORIA</t>
  </si>
  <si>
    <t>NOME</t>
  </si>
  <si>
    <t>ENDERECO</t>
  </si>
  <si>
    <t>CELULAR</t>
  </si>
  <si>
    <t>CREA</t>
  </si>
  <si>
    <t>ENDEREÇO</t>
  </si>
  <si>
    <t>REFEIÇÃO R$</t>
  </si>
  <si>
    <t>HOSPEDAGEM R$</t>
  </si>
  <si>
    <t xml:space="preserve">DT LANÇAMENTO </t>
  </si>
  <si>
    <t>DT LANÇAMENTO</t>
  </si>
  <si>
    <t>Teste</t>
  </si>
  <si>
    <t>Tina Taner</t>
  </si>
  <si>
    <t>22/02/2021</t>
  </si>
  <si>
    <t>Priscila</t>
  </si>
  <si>
    <t>150,00</t>
  </si>
  <si>
    <t>PASSAGEM ÁERA</t>
  </si>
  <si>
    <t>STATUS</t>
  </si>
  <si>
    <t>Aberto</t>
  </si>
  <si>
    <t>Liquidado</t>
  </si>
  <si>
    <t>Até</t>
  </si>
  <si>
    <t>Período:</t>
  </si>
  <si>
    <t>Perito :</t>
  </si>
  <si>
    <t>Seguradora :</t>
  </si>
  <si>
    <t>Relatório de Pericias - Perito</t>
  </si>
  <si>
    <t>Relatório de Penhor - Perito</t>
  </si>
  <si>
    <t>PAGTO PERITO</t>
  </si>
  <si>
    <t>Status: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</si>
</sst>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7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indexed="64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9" tint="0.39997558519241921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40">
    <xf numFmtId="0" fontId="0" fillId="0" borderId="0" xfId="0"/>
    <xf numFmtId="14" fontId="0" fillId="0" borderId="0" xfId="0" applyNumberFormat="1"/>
    <xf numFmtId="0" fontId="1" fillId="2" borderId="1" xfId="0" applyFont="1" applyFill="1" applyBorder="1" applyAlignment="1">
      <alignment horizontal="center"/>
    </xf>
    <xf numFmtId="0" fontId="2" fillId="0" borderId="0" xfId="0" applyFont="1" applyAlignment="1"/>
    <xf numFmtId="49" fontId="1" fillId="2" borderId="1" xfId="0" applyNumberFormat="1" applyFont="1" applyFill="1" applyBorder="1" applyAlignment="1">
      <alignment horizontal="center"/>
    </xf>
    <xf numFmtId="49" fontId="1" fillId="0" borderId="0" xfId="0" applyNumberFormat="1" applyFont="1" applyBorder="1" applyAlignment="1">
      <alignment horizontal="center"/>
    </xf>
    <xf numFmtId="14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2" fillId="0" borderId="0" xfId="0" applyFont="1"/>
    <xf numFmtId="2" fontId="1" fillId="2" borderId="1" xfId="0" applyNumberFormat="1" applyFont="1" applyFill="1" applyBorder="1" applyAlignment="1">
      <alignment horizontal="center"/>
    </xf>
    <xf numFmtId="2" fontId="0" fillId="0" borderId="0" xfId="0" applyNumberFormat="1"/>
    <xf numFmtId="1" fontId="1" fillId="2" borderId="1" xfId="0" applyNumberFormat="1" applyFont="1" applyFill="1" applyBorder="1" applyAlignment="1">
      <alignment horizontal="center"/>
    </xf>
    <xf numFmtId="1" fontId="0" fillId="0" borderId="0" xfId="0" applyNumberFormat="1"/>
    <xf numFmtId="0" fontId="0" fillId="0" borderId="0" xfId="0" applyAlignment="1">
      <alignment horizontal="center"/>
    </xf>
    <xf numFmtId="14" fontId="1" fillId="2" borderId="1" xfId="0" applyNumberFormat="1" applyFont="1" applyFill="1" applyBorder="1" applyAlignment="1">
      <alignment horizontal="right"/>
    </xf>
    <xf numFmtId="14" fontId="0" fillId="0" borderId="0" xfId="0" applyNumberFormat="1" applyAlignment="1">
      <alignment horizontal="right"/>
    </xf>
    <xf numFmtId="44" fontId="1" fillId="2" borderId="1" xfId="1" applyFont="1" applyFill="1" applyBorder="1" applyAlignment="1">
      <alignment horizontal="center"/>
    </xf>
    <xf numFmtId="44" fontId="0" fillId="0" borderId="0" xfId="1" applyFont="1"/>
    <xf numFmtId="44" fontId="1" fillId="2" borderId="2" xfId="1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center"/>
    </xf>
    <xf numFmtId="14" fontId="1" fillId="2" borderId="3" xfId="0" applyNumberFormat="1" applyFont="1" applyFill="1" applyBorder="1" applyAlignment="1">
      <alignment horizontal="right"/>
    </xf>
    <xf numFmtId="1" fontId="1" fillId="2" borderId="2" xfId="0" applyNumberFormat="1" applyFont="1" applyFill="1" applyBorder="1" applyAlignment="1">
      <alignment horizontal="center"/>
    </xf>
    <xf numFmtId="2" fontId="1" fillId="2" borderId="2" xfId="0" applyNumberFormat="1" applyFont="1" applyFill="1" applyBorder="1" applyAlignment="1">
      <alignment horizontal="center"/>
    </xf>
    <xf numFmtId="14" fontId="1" fillId="2" borderId="2" xfId="0" applyNumberFormat="1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14" fontId="0" fillId="0" borderId="0" xfId="0" applyNumberFormat="1" applyBorder="1" applyAlignment="1">
      <alignment horizontal="center"/>
    </xf>
    <xf numFmtId="14" fontId="6" fillId="3" borderId="0" xfId="0" applyNumberFormat="1" applyFont="1" applyFill="1" applyBorder="1" applyAlignment="1">
      <alignment horizontal="right"/>
    </xf>
    <xf numFmtId="0" fontId="6" fillId="3" borderId="0" xfId="0" applyFont="1" applyFill="1" applyBorder="1" applyAlignment="1">
      <alignment horizontal="center"/>
    </xf>
    <xf numFmtId="0" fontId="5" fillId="0" borderId="0" xfId="0" applyFont="1"/>
    <xf numFmtId="0" fontId="5" fillId="3" borderId="0" xfId="0" applyFont="1" applyFill="1" applyBorder="1"/>
    <xf numFmtId="0" fontId="0" fillId="0" borderId="0" xfId="0" applyFill="1" applyBorder="1"/>
    <xf numFmtId="0" fontId="4" fillId="0" borderId="5" xfId="0" applyFont="1" applyBorder="1" applyAlignment="1"/>
    <xf numFmtId="0" fontId="4" fillId="0" borderId="0" xfId="0" applyFont="1" applyBorder="1" applyAlignment="1"/>
    <xf numFmtId="0" fontId="4" fillId="0" borderId="5" xfId="0" applyFont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6" xfId="0" applyBorder="1" applyAlignment="1">
      <alignment horizontal="center"/>
    </xf>
    <xf numFmtId="0" fontId="0" fillId="0" borderId="0" xfId="0" applyAlignment="1">
      <alignment horizontal="left"/>
    </xf>
  </cellXfs>
  <cellStyles count="2">
    <cellStyle name="Moeda" xfId="1" builtinId="4"/>
    <cellStyle name="Normal" xfId="0" builtinId="0"/>
  </cellStyles>
  <dxfs count="25"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1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numFmt numFmtId="19" formatCode="dd/mm/yyyy"/>
    </dxf>
    <dxf>
      <numFmt numFmtId="2" formatCode="0.00"/>
    </dxf>
    <dxf>
      <numFmt numFmtId="2" formatCode="0.00"/>
    </dxf>
    <dxf>
      <alignment horizontal="center" vertical="bottom" textRotation="0" wrapText="0" indent="0" justifyLastLine="0" shrinkToFit="0" readingOrder="0"/>
    </dxf>
    <dxf>
      <numFmt numFmtId="2" formatCode="0.00"/>
    </dxf>
    <dxf>
      <numFmt numFmtId="1" formatCode="0"/>
    </dxf>
    <dxf>
      <numFmt numFmtId="1" formatCode="0"/>
    </dxf>
    <dxf>
      <numFmt numFmtId="1" formatCode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numFmt numFmtId="19" formatCode="dd/mm/yyyy"/>
      <alignment horizontal="right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339966"/>
      <color rgb="FF00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95249</xdr:colOff>
      <xdr:row>4</xdr:row>
      <xdr:rowOff>85726</xdr:rowOff>
    </xdr:from>
    <xdr:to>
      <xdr:col>20</xdr:col>
      <xdr:colOff>428624</xdr:colOff>
      <xdr:row>23</xdr:row>
      <xdr:rowOff>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3F00405F-2860-4D61-B784-1B6B57B0D83E}"/>
            </a:ext>
          </a:extLst>
        </xdr:cNvPr>
        <xdr:cNvSpPr/>
      </xdr:nvSpPr>
      <xdr:spPr>
        <a:xfrm>
          <a:off x="95249" y="847726"/>
          <a:ext cx="12525375" cy="3533774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133350</xdr:colOff>
      <xdr:row>0</xdr:row>
      <xdr:rowOff>38100</xdr:rowOff>
    </xdr:from>
    <xdr:to>
      <xdr:col>20</xdr:col>
      <xdr:colOff>428625</xdr:colOff>
      <xdr:row>3</xdr:row>
      <xdr:rowOff>123825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40465823-87AB-4C24-B968-74F720E07412}"/>
            </a:ext>
          </a:extLst>
        </xdr:cNvPr>
        <xdr:cNvSpPr/>
      </xdr:nvSpPr>
      <xdr:spPr>
        <a:xfrm>
          <a:off x="133350" y="38100"/>
          <a:ext cx="12487275" cy="657225"/>
        </a:xfrm>
        <a:prstGeom prst="rect">
          <a:avLst/>
        </a:prstGeom>
        <a:solidFill>
          <a:srgbClr val="339966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323850</xdr:colOff>
      <xdr:row>13</xdr:row>
      <xdr:rowOff>85725</xdr:rowOff>
    </xdr:from>
    <xdr:to>
      <xdr:col>4</xdr:col>
      <xdr:colOff>409575</xdr:colOff>
      <xdr:row>16</xdr:row>
      <xdr:rowOff>161925</xdr:rowOff>
    </xdr:to>
    <xdr:sp macro="[0]!ChamarCadSeguradora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1425D02A-6B5D-4971-836F-775F7A3745A4}"/>
            </a:ext>
          </a:extLst>
        </xdr:cNvPr>
        <xdr:cNvSpPr/>
      </xdr:nvSpPr>
      <xdr:spPr>
        <a:xfrm>
          <a:off x="323850" y="2562225"/>
          <a:ext cx="2524125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Cadastro de seguradora</a:t>
          </a:r>
        </a:p>
      </xdr:txBody>
    </xdr:sp>
    <xdr:clientData/>
  </xdr:twoCellAnchor>
  <xdr:twoCellAnchor>
    <xdr:from>
      <xdr:col>0</xdr:col>
      <xdr:colOff>352426</xdr:colOff>
      <xdr:row>6</xdr:row>
      <xdr:rowOff>28575</xdr:rowOff>
    </xdr:from>
    <xdr:to>
      <xdr:col>4</xdr:col>
      <xdr:colOff>447676</xdr:colOff>
      <xdr:row>9</xdr:row>
      <xdr:rowOff>104775</xdr:rowOff>
    </xdr:to>
    <xdr:sp macro="[0]!ChamarCadPericia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FF096E23-81FD-4F76-BA42-82BDABBCFFB3}"/>
            </a:ext>
          </a:extLst>
        </xdr:cNvPr>
        <xdr:cNvSpPr/>
      </xdr:nvSpPr>
      <xdr:spPr>
        <a:xfrm>
          <a:off x="352426" y="11715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Cadastro</a:t>
          </a:r>
          <a:r>
            <a:rPr lang="pt-BR" sz="1200" b="1" baseline="0"/>
            <a:t> de Pericias Agrícolas</a:t>
          </a:r>
          <a:endParaRPr lang="pt-BR" sz="1200" b="1"/>
        </a:p>
      </xdr:txBody>
    </xdr:sp>
    <xdr:clientData/>
  </xdr:twoCellAnchor>
  <xdr:oneCellAnchor>
    <xdr:from>
      <xdr:col>2</xdr:col>
      <xdr:colOff>212070</xdr:colOff>
      <xdr:row>0</xdr:row>
      <xdr:rowOff>21724</xdr:rowOff>
    </xdr:from>
    <xdr:ext cx="9920023" cy="673601"/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1480AE2F-B2CC-4B32-A153-612EBF5CA167}"/>
            </a:ext>
          </a:extLst>
        </xdr:cNvPr>
        <xdr:cNvSpPr/>
      </xdr:nvSpPr>
      <xdr:spPr>
        <a:xfrm>
          <a:off x="1431270" y="21724"/>
          <a:ext cx="9920023" cy="673601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Segoe UI Black" panose="020B0A02040204020203" pitchFamily="34" charset="0"/>
            </a:rPr>
            <a:t>Gestão de seguradora 1.0</a:t>
          </a:r>
        </a:p>
      </xdr:txBody>
    </xdr:sp>
    <xdr:clientData/>
  </xdr:oneCellAnchor>
  <xdr:twoCellAnchor editAs="oneCell">
    <xdr:from>
      <xdr:col>0</xdr:col>
      <xdr:colOff>314325</xdr:colOff>
      <xdr:row>6</xdr:row>
      <xdr:rowOff>57150</xdr:rowOff>
    </xdr:from>
    <xdr:to>
      <xdr:col>1</xdr:col>
      <xdr:colOff>314325</xdr:colOff>
      <xdr:row>9</xdr:row>
      <xdr:rowOff>95250</xdr:rowOff>
    </xdr:to>
    <xdr:pic>
      <xdr:nvPicPr>
        <xdr:cNvPr id="8" name="Imagem 7">
          <a:extLst>
            <a:ext uri="{FF2B5EF4-FFF2-40B4-BE49-F238E27FC236}">
              <a16:creationId xmlns:a16="http://schemas.microsoft.com/office/drawing/2014/main" id="{E0CFBF2F-7572-4B10-85F6-092D7497FE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200150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0</xdr:col>
      <xdr:colOff>285750</xdr:colOff>
      <xdr:row>13</xdr:row>
      <xdr:rowOff>123825</xdr:rowOff>
    </xdr:from>
    <xdr:to>
      <xdr:col>1</xdr:col>
      <xdr:colOff>285750</xdr:colOff>
      <xdr:row>16</xdr:row>
      <xdr:rowOff>161925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D748ED45-174B-4B3F-B691-9F5D82163A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0" y="2600325"/>
          <a:ext cx="609600" cy="609600"/>
        </a:xfrm>
        <a:prstGeom prst="rect">
          <a:avLst/>
        </a:prstGeom>
      </xdr:spPr>
    </xdr:pic>
    <xdr:clientData/>
  </xdr:twoCellAnchor>
  <xdr:twoCellAnchor>
    <xdr:from>
      <xdr:col>0</xdr:col>
      <xdr:colOff>333376</xdr:colOff>
      <xdr:row>9</xdr:row>
      <xdr:rowOff>152400</xdr:rowOff>
    </xdr:from>
    <xdr:to>
      <xdr:col>4</xdr:col>
      <xdr:colOff>428626</xdr:colOff>
      <xdr:row>13</xdr:row>
      <xdr:rowOff>38100</xdr:rowOff>
    </xdr:to>
    <xdr:sp macro="[0]!ChamarCadPenhor" textlink="">
      <xdr:nvSpPr>
        <xdr:cNvPr id="10" name="Retângulo: Cantos Arredondados 9">
          <a:extLst>
            <a:ext uri="{FF2B5EF4-FFF2-40B4-BE49-F238E27FC236}">
              <a16:creationId xmlns:a16="http://schemas.microsoft.com/office/drawing/2014/main" id="{DBD6C205-9AB5-426D-A8B7-31F7D55D8589}"/>
            </a:ext>
          </a:extLst>
        </xdr:cNvPr>
        <xdr:cNvSpPr/>
      </xdr:nvSpPr>
      <xdr:spPr>
        <a:xfrm>
          <a:off x="333376" y="186690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r>
            <a:rPr lang="pt-BR" sz="1200" b="1"/>
            <a:t>Cadastro</a:t>
          </a:r>
          <a:r>
            <a:rPr lang="pt-BR" sz="1200" b="1" baseline="0"/>
            <a:t> de Penhor Rural</a:t>
          </a:r>
          <a:endParaRPr lang="pt-BR" sz="1200" b="1"/>
        </a:p>
      </xdr:txBody>
    </xdr:sp>
    <xdr:clientData/>
  </xdr:twoCellAnchor>
  <xdr:twoCellAnchor editAs="oneCell">
    <xdr:from>
      <xdr:col>0</xdr:col>
      <xdr:colOff>295276</xdr:colOff>
      <xdr:row>10</xdr:row>
      <xdr:rowOff>19050</xdr:rowOff>
    </xdr:from>
    <xdr:to>
      <xdr:col>1</xdr:col>
      <xdr:colOff>295276</xdr:colOff>
      <xdr:row>13</xdr:row>
      <xdr:rowOff>57150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1E43AF73-230D-4C65-94EA-8D81A8DE52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6" y="1924050"/>
          <a:ext cx="609600" cy="609600"/>
        </a:xfrm>
        <a:prstGeom prst="rect">
          <a:avLst/>
        </a:prstGeom>
      </xdr:spPr>
    </xdr:pic>
    <xdr:clientData/>
  </xdr:twoCellAnchor>
  <xdr:twoCellAnchor>
    <xdr:from>
      <xdr:col>0</xdr:col>
      <xdr:colOff>314326</xdr:colOff>
      <xdr:row>17</xdr:row>
      <xdr:rowOff>19050</xdr:rowOff>
    </xdr:from>
    <xdr:to>
      <xdr:col>4</xdr:col>
      <xdr:colOff>409576</xdr:colOff>
      <xdr:row>20</xdr:row>
      <xdr:rowOff>95250</xdr:rowOff>
    </xdr:to>
    <xdr:sp macro="[0]!ChamarCadPerito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C587AC0F-37EE-4340-9C92-182087328C08}"/>
            </a:ext>
          </a:extLst>
        </xdr:cNvPr>
        <xdr:cNvSpPr/>
      </xdr:nvSpPr>
      <xdr:spPr>
        <a:xfrm>
          <a:off x="314326" y="32575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Cadastro de Peritos</a:t>
          </a:r>
        </a:p>
      </xdr:txBody>
    </xdr:sp>
    <xdr:clientData/>
  </xdr:twoCellAnchor>
  <xdr:twoCellAnchor editAs="oneCell">
    <xdr:from>
      <xdr:col>0</xdr:col>
      <xdr:colOff>295275</xdr:colOff>
      <xdr:row>17</xdr:row>
      <xdr:rowOff>28575</xdr:rowOff>
    </xdr:from>
    <xdr:to>
      <xdr:col>1</xdr:col>
      <xdr:colOff>295275</xdr:colOff>
      <xdr:row>20</xdr:row>
      <xdr:rowOff>66675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D3192265-6104-4714-A886-8F485A4B10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5275" y="3267075"/>
          <a:ext cx="609600" cy="609600"/>
        </a:xfrm>
        <a:prstGeom prst="rect">
          <a:avLst/>
        </a:prstGeom>
      </xdr:spPr>
    </xdr:pic>
    <xdr:clientData/>
  </xdr:twoCellAnchor>
  <xdr:twoCellAnchor>
    <xdr:from>
      <xdr:col>16</xdr:col>
      <xdr:colOff>104776</xdr:colOff>
      <xdr:row>6</xdr:row>
      <xdr:rowOff>28575</xdr:rowOff>
    </xdr:from>
    <xdr:to>
      <xdr:col>20</xdr:col>
      <xdr:colOff>200026</xdr:colOff>
      <xdr:row>9</xdr:row>
      <xdr:rowOff>104775</xdr:rowOff>
    </xdr:to>
    <xdr:sp macro="[0]!ChamarLancPericia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7A1AB208-7E87-478F-AAE2-AEE61C4AD456}"/>
            </a:ext>
          </a:extLst>
        </xdr:cNvPr>
        <xdr:cNvSpPr/>
      </xdr:nvSpPr>
      <xdr:spPr>
        <a:xfrm>
          <a:off x="9858376" y="11715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Lançamento de Pericias </a:t>
          </a:r>
        </a:p>
      </xdr:txBody>
    </xdr:sp>
    <xdr:clientData/>
  </xdr:twoCellAnchor>
  <xdr:twoCellAnchor>
    <xdr:from>
      <xdr:col>16</xdr:col>
      <xdr:colOff>133351</xdr:colOff>
      <xdr:row>10</xdr:row>
      <xdr:rowOff>0</xdr:rowOff>
    </xdr:from>
    <xdr:to>
      <xdr:col>20</xdr:col>
      <xdr:colOff>228601</xdr:colOff>
      <xdr:row>13</xdr:row>
      <xdr:rowOff>76200</xdr:rowOff>
    </xdr:to>
    <xdr:sp macro="[0]!ChamarLancPenhor" textlink="">
      <xdr:nvSpPr>
        <xdr:cNvPr id="14" name="Retângulo: Cantos Arredondados 13">
          <a:extLst>
            <a:ext uri="{FF2B5EF4-FFF2-40B4-BE49-F238E27FC236}">
              <a16:creationId xmlns:a16="http://schemas.microsoft.com/office/drawing/2014/main" id="{DB8DA108-148E-4C05-8F5A-FE6394D039EA}"/>
            </a:ext>
          </a:extLst>
        </xdr:cNvPr>
        <xdr:cNvSpPr/>
      </xdr:nvSpPr>
      <xdr:spPr>
        <a:xfrm>
          <a:off x="9886951" y="190500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200" b="1">
              <a:solidFill>
                <a:schemeClr val="dk1"/>
              </a:solidFill>
              <a:latin typeface="+mn-lt"/>
              <a:ea typeface="+mn-ea"/>
              <a:cs typeface="+mn-cs"/>
            </a:rPr>
            <a:t>Lançamento de Penhor</a:t>
          </a:r>
        </a:p>
      </xdr:txBody>
    </xdr:sp>
    <xdr:clientData/>
  </xdr:twoCellAnchor>
  <xdr:twoCellAnchor editAs="oneCell">
    <xdr:from>
      <xdr:col>16</xdr:col>
      <xdr:colOff>161925</xdr:colOff>
      <xdr:row>6</xdr:row>
      <xdr:rowOff>66675</xdr:rowOff>
    </xdr:from>
    <xdr:to>
      <xdr:col>17</xdr:col>
      <xdr:colOff>161925</xdr:colOff>
      <xdr:row>9</xdr:row>
      <xdr:rowOff>104775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B793AEFE-20DA-4046-B155-5D4F1AA3938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5525" y="1209675"/>
          <a:ext cx="609600" cy="609600"/>
        </a:xfrm>
        <a:prstGeom prst="rect">
          <a:avLst/>
        </a:prstGeom>
      </xdr:spPr>
    </xdr:pic>
    <xdr:clientData/>
  </xdr:twoCellAnchor>
  <xdr:twoCellAnchor editAs="oneCell">
    <xdr:from>
      <xdr:col>16</xdr:col>
      <xdr:colOff>200025</xdr:colOff>
      <xdr:row>10</xdr:row>
      <xdr:rowOff>9525</xdr:rowOff>
    </xdr:from>
    <xdr:to>
      <xdr:col>17</xdr:col>
      <xdr:colOff>200025</xdr:colOff>
      <xdr:row>13</xdr:row>
      <xdr:rowOff>47625</xdr:rowOff>
    </xdr:to>
    <xdr:pic>
      <xdr:nvPicPr>
        <xdr:cNvPr id="18" name="Imagem 17">
          <a:extLst>
            <a:ext uri="{FF2B5EF4-FFF2-40B4-BE49-F238E27FC236}">
              <a16:creationId xmlns:a16="http://schemas.microsoft.com/office/drawing/2014/main" id="{BED0CF73-78FC-4D9D-94C0-4183228FFC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53625" y="1914525"/>
          <a:ext cx="609600" cy="609600"/>
        </a:xfrm>
        <a:prstGeom prst="rect">
          <a:avLst/>
        </a:prstGeom>
      </xdr:spPr>
    </xdr:pic>
    <xdr:clientData/>
  </xdr:twoCellAnchor>
  <xdr:twoCellAnchor>
    <xdr:from>
      <xdr:col>16</xdr:col>
      <xdr:colOff>133351</xdr:colOff>
      <xdr:row>13</xdr:row>
      <xdr:rowOff>133350</xdr:rowOff>
    </xdr:from>
    <xdr:to>
      <xdr:col>20</xdr:col>
      <xdr:colOff>228601</xdr:colOff>
      <xdr:row>17</xdr:row>
      <xdr:rowOff>19050</xdr:rowOff>
    </xdr:to>
    <xdr:sp macro="[0]!ChamarRelPericias" textlink="">
      <xdr:nvSpPr>
        <xdr:cNvPr id="19" name="Retângulo: Cantos Arredondados 18">
          <a:extLst>
            <a:ext uri="{FF2B5EF4-FFF2-40B4-BE49-F238E27FC236}">
              <a16:creationId xmlns:a16="http://schemas.microsoft.com/office/drawing/2014/main" id="{10C130D5-083B-42C5-9302-2E840D945295}"/>
            </a:ext>
          </a:extLst>
        </xdr:cNvPr>
        <xdr:cNvSpPr/>
      </xdr:nvSpPr>
      <xdr:spPr>
        <a:xfrm>
          <a:off x="9886951" y="2609850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Relatório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Percias - Perito</a:t>
          </a:r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16</xdr:col>
      <xdr:colOff>161925</xdr:colOff>
      <xdr:row>13</xdr:row>
      <xdr:rowOff>76200</xdr:rowOff>
    </xdr:from>
    <xdr:to>
      <xdr:col>17</xdr:col>
      <xdr:colOff>314325</xdr:colOff>
      <xdr:row>17</xdr:row>
      <xdr:rowOff>76200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DDE9E950-42C8-44AA-8C4B-02F188A5B9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15525" y="2552700"/>
          <a:ext cx="762000" cy="762000"/>
        </a:xfrm>
        <a:prstGeom prst="rect">
          <a:avLst/>
        </a:prstGeom>
      </xdr:spPr>
    </xdr:pic>
    <xdr:clientData/>
  </xdr:twoCellAnchor>
  <xdr:twoCellAnchor>
    <xdr:from>
      <xdr:col>16</xdr:col>
      <xdr:colOff>104776</xdr:colOff>
      <xdr:row>17</xdr:row>
      <xdr:rowOff>66675</xdr:rowOff>
    </xdr:from>
    <xdr:to>
      <xdr:col>20</xdr:col>
      <xdr:colOff>200026</xdr:colOff>
      <xdr:row>20</xdr:row>
      <xdr:rowOff>142875</xdr:rowOff>
    </xdr:to>
    <xdr:sp macro="[0]!ChamarRelPericias" textlink="">
      <xdr:nvSpPr>
        <xdr:cNvPr id="20" name="Retângulo: Cantos Arredondados 19">
          <a:extLst>
            <a:ext uri="{FF2B5EF4-FFF2-40B4-BE49-F238E27FC236}">
              <a16:creationId xmlns:a16="http://schemas.microsoft.com/office/drawing/2014/main" id="{B36E5149-BCB8-4B4B-B0B3-7C63C6247554}"/>
            </a:ext>
          </a:extLst>
        </xdr:cNvPr>
        <xdr:cNvSpPr/>
      </xdr:nvSpPr>
      <xdr:spPr>
        <a:xfrm>
          <a:off x="9858376" y="3305175"/>
          <a:ext cx="2533650" cy="647700"/>
        </a:xfrm>
        <a:prstGeom prst="round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r"/>
          <a:r>
            <a:rPr lang="pt-BR" sz="1100" b="1">
              <a:solidFill>
                <a:schemeClr val="dk1"/>
              </a:solidFill>
              <a:latin typeface="+mn-lt"/>
              <a:ea typeface="+mn-ea"/>
              <a:cs typeface="+mn-cs"/>
            </a:rPr>
            <a:t>Relatório</a:t>
          </a:r>
          <a:r>
            <a:rPr lang="pt-BR" sz="1100" b="1" baseline="0">
              <a:solidFill>
                <a:schemeClr val="dk1"/>
              </a:solidFill>
              <a:latin typeface="+mn-lt"/>
              <a:ea typeface="+mn-ea"/>
              <a:cs typeface="+mn-cs"/>
            </a:rPr>
            <a:t> de Penhor - Perito</a:t>
          </a:r>
          <a:endParaRPr lang="pt-BR" sz="1100" b="1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16</xdr:col>
      <xdr:colOff>152400</xdr:colOff>
      <xdr:row>17</xdr:row>
      <xdr:rowOff>9525</xdr:rowOff>
    </xdr:from>
    <xdr:to>
      <xdr:col>17</xdr:col>
      <xdr:colOff>304800</xdr:colOff>
      <xdr:row>21</xdr:row>
      <xdr:rowOff>9525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DB4ECA9A-EA72-4E9D-9DB3-6CECB37DA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06000" y="3248025"/>
          <a:ext cx="762000" cy="76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590550</xdr:colOff>
      <xdr:row>0</xdr:row>
      <xdr:rowOff>57150</xdr:rowOff>
    </xdr:from>
    <xdr:to>
      <xdr:col>26</xdr:col>
      <xdr:colOff>523875</xdr:colOff>
      <xdr:row>0</xdr:row>
      <xdr:rowOff>390525</xdr:rowOff>
    </xdr:to>
    <xdr:sp macro="[0]!FiltroPericia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2BDDBD34-A36D-463A-B784-6133494CC41C}"/>
            </a:ext>
          </a:extLst>
        </xdr:cNvPr>
        <xdr:cNvSpPr/>
      </xdr:nvSpPr>
      <xdr:spPr>
        <a:xfrm>
          <a:off x="8658225" y="57150"/>
          <a:ext cx="542925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762001</xdr:colOff>
      <xdr:row>0</xdr:row>
      <xdr:rowOff>66675</xdr:rowOff>
    </xdr:from>
    <xdr:to>
      <xdr:col>19</xdr:col>
      <xdr:colOff>276226</xdr:colOff>
      <xdr:row>0</xdr:row>
      <xdr:rowOff>400050</xdr:rowOff>
    </xdr:to>
    <xdr:sp macro="[0]!FiltroPenhoPeri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5E562443-415B-4051-AC1C-EBFEBE2DEF94}"/>
            </a:ext>
          </a:extLst>
        </xdr:cNvPr>
        <xdr:cNvSpPr/>
      </xdr:nvSpPr>
      <xdr:spPr>
        <a:xfrm>
          <a:off x="10353676" y="66675"/>
          <a:ext cx="742950" cy="3333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/>
            <a:t>Gerar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F952D81-90B1-46A3-A17D-5617AC725009}" name="Tabela3" displayName="Tabela3" ref="A1:AC13" totalsRowShown="0" headerRowDxfId="24" headerRowBorderDxfId="23">
  <tableColumns count="29">
    <tableColumn id="1" xr3:uid="{01FEB0E5-52BE-4347-BF57-CD16D27B937B}" name="DT RECEBIMENTO" dataDxfId="22"/>
    <tableColumn id="2" xr3:uid="{42D256E5-7905-43C7-B146-BAE1FF4F13EA}" name="DT VISTORIA" dataDxfId="21"/>
    <tableColumn id="3" xr3:uid="{BCCE59B5-8188-4C7C-95C2-715E226A28AA}" name="DT ENTREGA " dataDxfId="20"/>
    <tableColumn id="4" xr3:uid="{DD2FFDF0-7DCD-40B2-BE5B-713ED98D0855}" name="NF" dataDxfId="19"/>
    <tableColumn id="5" xr3:uid="{71C6BD3C-6436-486E-BD85-7935791CB966}" name="SINISTRO" dataDxfId="18"/>
    <tableColumn id="6" xr3:uid="{D289DEB5-E97A-4D43-B4F7-902CC070659C}" name="APÓLICE" dataDxfId="17"/>
    <tableColumn id="7" xr3:uid="{06DE9BC2-A40D-4D00-BB45-8E4F7789BE84}" name="PROPOSTA" dataDxfId="16"/>
    <tableColumn id="8" xr3:uid="{938EE5F6-C4CC-47A2-9716-BA14675A1CC0}" name="SEGURADO"/>
    <tableColumn id="9" xr3:uid="{D988F2E0-5D14-403F-819E-52EE981BC7FA}" name="OBS:"/>
    <tableColumn id="10" xr3:uid="{659F1C80-4C76-438C-8F31-6EEC136904EB}" name="MUNICIPIO "/>
    <tableColumn id="11" xr3:uid="{9196166A-5194-4CF9-9613-FDC45C0D52EA}" name="UF" dataDxfId="15"/>
    <tableColumn id="12" xr3:uid="{21394EE4-1694-4250-9E61-5F41B640ECB1}" name="EVENTO"/>
    <tableColumn id="13" xr3:uid="{DD18FA28-11C2-476F-9046-202678EF194C}" name="CULTURA"/>
    <tableColumn id="14" xr3:uid="{7248674C-5344-4C0C-B985-34FFF3D5C2F3}" name="PERITO "/>
    <tableColumn id="15" xr3:uid="{4ED99905-9E0E-4E43-9CAE-6696B1D88A06}" name="VISTORIA"/>
    <tableColumn id="16" xr3:uid="{E2ACA318-59D9-43A6-9327-66E1FCA97A60}" name="AREA SEGURADA" dataDxfId="14"/>
    <tableColumn id="17" xr3:uid="{EE10B1C6-6DEE-4AD7-9D78-EC246389C2FB}" name="AREA VISTORIADA" dataDxfId="13"/>
    <tableColumn id="18" xr3:uid="{5ABE2B95-8B65-4067-B07B-961E86DF955C}" name="SEGURADORA"/>
    <tableColumn id="19" xr3:uid="{D6D440C8-50F6-4EC7-BDE9-2DF3AA5771DF}" name=" HONORÁRIO R$ " dataCellStyle="Moeda"/>
    <tableColumn id="20" xr3:uid="{4AD21308-937E-4761-BA5D-93DFD5876314}" name="KM RODADO PERITO"/>
    <tableColumn id="21" xr3:uid="{81790E5F-9A10-4C4F-A097-2651C71B4AB6}" name="VALOR KM R$" dataCellStyle="Moeda"/>
    <tableColumn id="22" xr3:uid="{D7762BF3-0B74-4974-8BBE-59556FD6DA92}" name="KM RODADO EMPRESA"/>
    <tableColumn id="23" xr3:uid="{57C0BB09-FF91-456C-B393-28ABAD52D8D9}" name="KM R$ EMPR" dataCellStyle="Moeda"/>
    <tableColumn id="24" xr3:uid="{9C301590-1AAD-4F79-B66A-A6728FFFD7FC}" name="HOTEL" dataCellStyle="Moeda"/>
    <tableColumn id="25" xr3:uid="{0B99CFC5-E242-496D-9958-804F0D1B521E}" name="REFEIÇÃO" dataCellStyle="Moeda"/>
    <tableColumn id="26" xr3:uid="{2F92F6FA-422E-4D4B-BB4E-BA386F7AF1C0}" name="OUTROS " dataCellStyle="Moeda"/>
    <tableColumn id="27" xr3:uid="{84553A7A-42D0-4471-AD1E-1A3BF4FEB1AD}" name=" TOTAL " dataCellStyle="Moeda"/>
    <tableColumn id="28" xr3:uid="{ED67970F-F0E5-46C6-98D9-1A7C91354E1F}" name="DT LANÇAMENTO " dataDxfId="12"/>
    <tableColumn id="29" xr3:uid="{9ADDC96C-C7C9-4998-B013-EAD28F652506}" name="STATUS" dataCellStyle="Moeda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A7E3572-CDCE-436B-8140-15A1DAB15045}" name="Tabela4" displayName="Tabela4" ref="A1:Z18" totalsRowShown="0" headerRowDxfId="11" headerRowBorderDxfId="10">
  <tableColumns count="26">
    <tableColumn id="1" xr3:uid="{4CEAFE11-4BD7-40FD-A919-BB52A3784B3A}" name="DT RECEBIMENTO" dataDxfId="9"/>
    <tableColumn id="2" xr3:uid="{8D491FBA-8D6E-4D68-9169-C6C807F705B7}" name="NF"/>
    <tableColumn id="3" xr3:uid="{894BE3F1-C62B-4DDF-B040-E03CA1F61E2E}" name="DT VISTORIA " dataDxfId="8"/>
    <tableColumn id="4" xr3:uid="{3A5AA30B-7316-4054-B0A5-D3050BE0A17C}" name="DT REVISTORIA" dataDxfId="7"/>
    <tableColumn id="5" xr3:uid="{5762346C-BDE6-44E8-817C-91E54D27767E}" name="APÓLICE "/>
    <tableColumn id="24" xr3:uid="{A430FF16-32B9-4825-820C-70015B1C820E}" name="SINISTRO"/>
    <tableColumn id="6" xr3:uid="{1A60546F-FB43-46BD-B179-C75C28C7C994}" name="SEGURADO"/>
    <tableColumn id="7" xr3:uid="{06FB21F9-D567-4FEB-B23F-94CC67035500}" name="MUNICIPIO "/>
    <tableColumn id="8" xr3:uid="{F52919A1-EC7D-458F-BDD0-083E74A6B0AB}" name="UF"/>
    <tableColumn id="9" xr3:uid="{EAE99911-BF1E-458E-9B33-B85C6940677D}" name="NATUREZA DO SINISTRO"/>
    <tableColumn id="10" xr3:uid="{720F5E41-5E43-4BE6-9C8F-BE1DF20942E9}" name="PERITO "/>
    <tableColumn id="11" xr3:uid="{3A77C621-1E1E-4B9A-BEDE-3E88B249740D}" name="  HONORÁRIO R$  " dataCellStyle="Moeda"/>
    <tableColumn id="12" xr3:uid="{139A6F62-71D3-483A-A7EF-CF22C069C905}" name=" KM  "/>
    <tableColumn id="26" xr3:uid="{AEF5FE02-1FBD-4AF4-8633-C7E0C9E0B4A0}" name="KM R$" dataDxfId="6" dataCellStyle="Moeda"/>
    <tableColumn id="13" xr3:uid="{0FA3E433-9437-4ADE-B92A-336606AA0BFA}" name=" PEDÁGIO " dataCellStyle="Moeda"/>
    <tableColumn id="14" xr3:uid="{78FF7EDB-582E-42FD-9799-DD4D37C1C0BE}" name=" HOTEL " dataCellStyle="Moeda"/>
    <tableColumn id="15" xr3:uid="{B33CE678-346F-49DF-BDA4-44C123CB1EF8}" name=" REFEIÇÃO " dataCellStyle="Moeda"/>
    <tableColumn id="16" xr3:uid="{7E3D7E2A-6E12-4FB3-9C91-02FE40C27F4D}" name="PASSAGEM ÁERA" dataCellStyle="Moeda"/>
    <tableColumn id="17" xr3:uid="{AFEBA063-285D-4E1F-BD7C-E0BB8AA9BFC3}" name=" ALUGUEL CARRO " dataCellStyle="Moeda"/>
    <tableColumn id="18" xr3:uid="{80376310-22C8-4669-BBCC-9445A8931644}" name=" OUTROS " dataCellStyle="Moeda"/>
    <tableColumn id="19" xr3:uid="{6606E2F6-6FBE-42AD-B08C-73D5D56070BC}" name="  TOTAL  " dataCellStyle="Moeda"/>
    <tableColumn id="20" xr3:uid="{11BA40E0-957A-4794-828F-30F9B20B83E4}" name="SEGURADORA"/>
    <tableColumn id="27" xr3:uid="{B45D1A5B-3BB4-407A-A498-4AA20B08769B}" name="PAGTO PERITO" dataDxfId="5" dataCellStyle="Moeda"/>
    <tableColumn id="21" xr3:uid="{4273EAC1-1CAD-48A7-A120-34A13D31A6F5}" name="PAGTO SEGURADORA"/>
    <tableColumn id="22" xr3:uid="{174913DF-BEA1-407D-A724-986E2234D72A}" name="TIPO DO BEN"/>
    <tableColumn id="23" xr3:uid="{FD9D0B3E-2831-4683-9A45-A840DB5EA861}" name="DT LANÇAMENTO" dataDxfId="4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52556C6-A0FA-48E5-9C90-96C59F3FDC95}" name="Tabela5" displayName="Tabela5" ref="A1:E5" totalsRowShown="0" headerRowDxfId="3" headerRowBorderDxfId="2">
  <autoFilter ref="A1:E5" xr:uid="{2EFAC822-781E-49A7-9E37-807F9A11773B}"/>
  <tableColumns count="5">
    <tableColumn id="1" xr3:uid="{37F6DF33-7318-454A-B809-8D15C227E196}" name="NOME"/>
    <tableColumn id="2" xr3:uid="{D019ED57-F13F-4B96-B244-BBEEA7A70905}" name="ENDERECO"/>
    <tableColumn id="3" xr3:uid="{A88BF2FA-6D05-4120-979B-24E1D242EDD5}" name="CELULAR"/>
    <tableColumn id="4" xr3:uid="{3187D2F1-FEE8-43C0-9E95-CDD58A5B4254}" name="CREA"/>
    <tableColumn id="5" xr3:uid="{CC4468E8-5BEA-4669-A8FB-8A8C19EFB919}" name="CPF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9243E8-A3D1-44AF-85B6-7570184EAF1E}" name="Tabela6" displayName="Tabela6" ref="A1:F6" totalsRowShown="0" headerRowDxfId="1" headerRowBorderDxfId="0">
  <autoFilter ref="A1:F6" xr:uid="{E0128D07-B018-4091-9CB3-BD39DDA972C1}"/>
  <tableColumns count="6">
    <tableColumn id="1" xr3:uid="{93640D5B-39C9-4EE3-9C9C-88CB4813A0DE}" name="CNPJ"/>
    <tableColumn id="2" xr3:uid="{ECABB9F3-3A2D-466F-A1D1-8345C75306F8}" name="NOME"/>
    <tableColumn id="3" xr3:uid="{0354E08F-99E4-4602-A856-87F2606D5542}" name="ENDEREÇO"/>
    <tableColumn id="4" xr3:uid="{791EB34D-33AD-4D81-9993-B97ED301BA3B}" name="KM R$" dataCellStyle="Moeda"/>
    <tableColumn id="5" xr3:uid="{605420F8-6CFD-43FC-98CD-F68974D03019}" name="REFEIÇÃO R$" dataCellStyle="Moeda"/>
    <tableColumn id="6" xr3:uid="{E406B1A8-FE43-4F46-B098-C8F386E557B1}" name="HOSPEDAGEM R$" dataCellStyle="Moeda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8A944-3733-499C-AE71-B8AE2761D1CD}">
  <sheetPr codeName="Planilha2"/>
  <dimension ref="A1"/>
  <sheetViews>
    <sheetView showGridLines="0" showRowColHeaders="0" workbookViewId="0">
      <selection activeCell="E4" sqref="E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E6DA0-257A-4419-A6D1-B421D7280787}">
  <sheetPr codeName="Planilha6"/>
  <dimension ref="A1:AC13"/>
  <sheetViews>
    <sheetView topLeftCell="AA1" workbookViewId="0">
      <selection activeCell="AC2" sqref="AC2:AC13"/>
    </sheetView>
  </sheetViews>
  <sheetFormatPr defaultRowHeight="15" x14ac:dyDescent="0.25"/>
  <cols>
    <col min="1" max="3" width="21.7109375" style="15" customWidth="1"/>
    <col min="4" max="6" width="21.7109375" style="12" customWidth="1"/>
    <col min="7" max="7" width="21.7109375" style="10" customWidth="1"/>
    <col min="8" max="10" width="21.7109375" customWidth="1"/>
    <col min="11" max="11" width="21.7109375" style="13" customWidth="1"/>
    <col min="12" max="15" width="21.7109375" customWidth="1"/>
    <col min="16" max="17" width="21.7109375" style="10" customWidth="1"/>
    <col min="18" max="18" width="21.7109375" customWidth="1"/>
    <col min="19" max="19" width="21.7109375" style="17" customWidth="1"/>
    <col min="20" max="20" width="21.7109375" customWidth="1"/>
    <col min="21" max="21" width="21.7109375" style="17" customWidth="1"/>
    <col min="22" max="22" width="23.28515625" customWidth="1"/>
    <col min="23" max="27" width="21.7109375" style="17" customWidth="1"/>
    <col min="28" max="28" width="21.7109375" style="1" customWidth="1"/>
    <col min="29" max="29" width="12.28515625" bestFit="1" customWidth="1"/>
  </cols>
  <sheetData>
    <row r="1" spans="1:29" s="3" customFormat="1" ht="30" customHeight="1" x14ac:dyDescent="0.25">
      <c r="A1" s="14" t="s">
        <v>157</v>
      </c>
      <c r="B1" s="14" t="s">
        <v>160</v>
      </c>
      <c r="C1" s="14" t="s">
        <v>161</v>
      </c>
      <c r="D1" s="11" t="s">
        <v>46</v>
      </c>
      <c r="E1" s="11" t="s">
        <v>64</v>
      </c>
      <c r="F1" s="11" t="s">
        <v>65</v>
      </c>
      <c r="G1" s="9" t="s">
        <v>66</v>
      </c>
      <c r="H1" s="2" t="s">
        <v>49</v>
      </c>
      <c r="I1" s="2" t="s">
        <v>67</v>
      </c>
      <c r="J1" s="2" t="s">
        <v>50</v>
      </c>
      <c r="K1" s="2" t="s">
        <v>51</v>
      </c>
      <c r="L1" s="2" t="s">
        <v>68</v>
      </c>
      <c r="M1" s="2" t="s">
        <v>69</v>
      </c>
      <c r="N1" s="2" t="s">
        <v>53</v>
      </c>
      <c r="O1" s="2" t="s">
        <v>70</v>
      </c>
      <c r="P1" s="9" t="s">
        <v>71</v>
      </c>
      <c r="Q1" s="9" t="s">
        <v>72</v>
      </c>
      <c r="R1" s="2" t="s">
        <v>158</v>
      </c>
      <c r="S1" s="16" t="s">
        <v>73</v>
      </c>
      <c r="T1" s="2" t="s">
        <v>74</v>
      </c>
      <c r="U1" s="16" t="s">
        <v>75</v>
      </c>
      <c r="V1" s="2" t="s">
        <v>76</v>
      </c>
      <c r="W1" s="16" t="s">
        <v>77</v>
      </c>
      <c r="X1" s="16" t="s">
        <v>78</v>
      </c>
      <c r="Y1" s="16" t="s">
        <v>79</v>
      </c>
      <c r="Z1" s="16" t="s">
        <v>80</v>
      </c>
      <c r="AA1" s="16" t="s">
        <v>81</v>
      </c>
      <c r="AB1" s="6" t="s">
        <v>170</v>
      </c>
      <c r="AC1" s="2" t="s">
        <v>178</v>
      </c>
    </row>
    <row r="2" spans="1:29" x14ac:dyDescent="0.25">
      <c r="A2" s="15">
        <v>44197</v>
      </c>
      <c r="B2" s="15">
        <v>44197</v>
      </c>
      <c r="C2" s="15" t="s">
        <v>92</v>
      </c>
      <c r="E2" s="12">
        <v>1</v>
      </c>
      <c r="F2" s="12">
        <v>251</v>
      </c>
      <c r="H2" t="s">
        <v>106</v>
      </c>
      <c r="I2" t="s">
        <v>108</v>
      </c>
      <c r="J2" t="s">
        <v>32</v>
      </c>
      <c r="K2" s="13" t="s">
        <v>4</v>
      </c>
      <c r="M2" t="s">
        <v>83</v>
      </c>
      <c r="N2" t="s">
        <v>82</v>
      </c>
      <c r="P2" s="10">
        <v>58</v>
      </c>
      <c r="R2" t="s">
        <v>110</v>
      </c>
      <c r="AB2" s="1">
        <v>44124</v>
      </c>
      <c r="AC2" s="17" t="s">
        <v>179</v>
      </c>
    </row>
    <row r="3" spans="1:29" x14ac:dyDescent="0.25">
      <c r="A3" s="15">
        <v>44197</v>
      </c>
      <c r="B3" s="15" t="s">
        <v>92</v>
      </c>
      <c r="C3" s="15" t="s">
        <v>92</v>
      </c>
      <c r="D3" s="12">
        <v>2</v>
      </c>
      <c r="E3" s="12">
        <v>2</v>
      </c>
      <c r="F3" s="12">
        <v>6558</v>
      </c>
      <c r="H3" t="s">
        <v>107</v>
      </c>
      <c r="I3" t="s">
        <v>109</v>
      </c>
      <c r="J3" t="s">
        <v>33</v>
      </c>
      <c r="K3" s="13" t="s">
        <v>3</v>
      </c>
      <c r="M3" t="s">
        <v>87</v>
      </c>
      <c r="N3" t="s">
        <v>1</v>
      </c>
      <c r="P3" s="10">
        <v>10</v>
      </c>
      <c r="R3" t="s">
        <v>111</v>
      </c>
      <c r="AB3" s="1">
        <v>44124</v>
      </c>
      <c r="AC3" s="17" t="s">
        <v>180</v>
      </c>
    </row>
    <row r="4" spans="1:29" x14ac:dyDescent="0.25">
      <c r="A4" s="15">
        <v>44197</v>
      </c>
      <c r="B4" s="15" t="s">
        <v>139</v>
      </c>
      <c r="C4" s="15" t="s">
        <v>92</v>
      </c>
      <c r="E4" s="12">
        <v>3</v>
      </c>
      <c r="F4" s="12">
        <v>500</v>
      </c>
      <c r="G4" s="10">
        <v>250</v>
      </c>
      <c r="H4" t="s">
        <v>85</v>
      </c>
      <c r="I4" t="s">
        <v>86</v>
      </c>
      <c r="J4" t="s">
        <v>30</v>
      </c>
      <c r="K4" s="13" t="s">
        <v>18</v>
      </c>
      <c r="M4" t="s">
        <v>93</v>
      </c>
      <c r="N4" t="s">
        <v>2</v>
      </c>
      <c r="O4" t="s">
        <v>118</v>
      </c>
      <c r="P4" s="10">
        <v>50</v>
      </c>
      <c r="Q4" s="10">
        <v>50</v>
      </c>
      <c r="R4" t="s">
        <v>112</v>
      </c>
      <c r="T4">
        <v>100</v>
      </c>
      <c r="U4" s="17">
        <v>130</v>
      </c>
      <c r="X4" s="17">
        <v>50</v>
      </c>
      <c r="Y4" s="17">
        <v>20</v>
      </c>
      <c r="AB4" s="1">
        <v>44124</v>
      </c>
      <c r="AC4" s="17" t="s">
        <v>179</v>
      </c>
    </row>
    <row r="5" spans="1:29" x14ac:dyDescent="0.25">
      <c r="A5" s="15">
        <v>43863</v>
      </c>
      <c r="B5" s="15">
        <v>44229</v>
      </c>
      <c r="C5" s="15" t="s">
        <v>92</v>
      </c>
      <c r="D5" s="12">
        <v>4</v>
      </c>
      <c r="E5" s="12">
        <v>4</v>
      </c>
      <c r="F5" s="12">
        <v>400</v>
      </c>
      <c r="H5" t="s">
        <v>94</v>
      </c>
      <c r="J5" t="s">
        <v>33</v>
      </c>
      <c r="K5" s="13" t="s">
        <v>18</v>
      </c>
      <c r="M5" t="s">
        <v>95</v>
      </c>
      <c r="N5" t="s">
        <v>2</v>
      </c>
      <c r="P5" s="10">
        <v>411</v>
      </c>
      <c r="R5" t="s">
        <v>113</v>
      </c>
      <c r="AB5" s="1">
        <v>44124</v>
      </c>
      <c r="AC5" s="17" t="s">
        <v>179</v>
      </c>
    </row>
    <row r="6" spans="1:29" x14ac:dyDescent="0.25">
      <c r="A6" s="15">
        <v>44197</v>
      </c>
      <c r="B6" s="15">
        <v>2</v>
      </c>
      <c r="C6" s="15">
        <v>3</v>
      </c>
      <c r="D6" s="12">
        <v>4</v>
      </c>
      <c r="E6" s="12">
        <v>5</v>
      </c>
      <c r="F6" s="12">
        <v>6</v>
      </c>
      <c r="G6" s="10">
        <v>7</v>
      </c>
      <c r="H6">
        <v>8</v>
      </c>
      <c r="I6">
        <v>9</v>
      </c>
      <c r="J6">
        <v>10</v>
      </c>
      <c r="K6" s="13">
        <v>11</v>
      </c>
      <c r="L6">
        <v>12</v>
      </c>
      <c r="M6">
        <v>13</v>
      </c>
      <c r="N6">
        <v>14</v>
      </c>
      <c r="O6">
        <v>15</v>
      </c>
      <c r="P6" s="10">
        <v>16</v>
      </c>
      <c r="Q6" s="10">
        <v>17</v>
      </c>
      <c r="R6">
        <v>18</v>
      </c>
      <c r="S6" s="17">
        <v>19</v>
      </c>
      <c r="T6">
        <v>20</v>
      </c>
      <c r="U6" s="17">
        <v>21</v>
      </c>
      <c r="V6">
        <v>22</v>
      </c>
      <c r="W6" s="17">
        <v>23</v>
      </c>
      <c r="X6" s="17">
        <v>24</v>
      </c>
      <c r="Y6" s="17">
        <v>25</v>
      </c>
      <c r="Z6" s="17">
        <v>26</v>
      </c>
      <c r="AA6" s="17">
        <v>27</v>
      </c>
      <c r="AB6" s="1">
        <v>44124</v>
      </c>
      <c r="AC6" s="17" t="s">
        <v>180</v>
      </c>
    </row>
    <row r="7" spans="1:29" x14ac:dyDescent="0.25">
      <c r="A7" s="15">
        <v>44197</v>
      </c>
      <c r="B7" s="15">
        <v>44197</v>
      </c>
      <c r="C7" s="15">
        <v>650</v>
      </c>
      <c r="E7" s="12">
        <v>6</v>
      </c>
      <c r="F7" s="12">
        <v>525</v>
      </c>
      <c r="H7" t="s">
        <v>123</v>
      </c>
      <c r="J7" t="s">
        <v>31</v>
      </c>
      <c r="K7" s="13" t="s">
        <v>18</v>
      </c>
      <c r="M7" t="s">
        <v>95</v>
      </c>
      <c r="N7" t="s">
        <v>91</v>
      </c>
      <c r="P7" s="10">
        <v>45</v>
      </c>
      <c r="R7" t="s">
        <v>113</v>
      </c>
      <c r="AB7" s="1">
        <v>44124</v>
      </c>
      <c r="AC7" s="17" t="s">
        <v>179</v>
      </c>
    </row>
    <row r="8" spans="1:29" x14ac:dyDescent="0.25">
      <c r="A8" s="15">
        <v>44197</v>
      </c>
      <c r="B8" s="15" t="s">
        <v>134</v>
      </c>
      <c r="C8" s="15">
        <v>55</v>
      </c>
      <c r="D8" s="12">
        <v>12</v>
      </c>
      <c r="E8" s="12">
        <v>7</v>
      </c>
      <c r="F8" s="12">
        <v>2215</v>
      </c>
      <c r="H8" t="s">
        <v>124</v>
      </c>
      <c r="I8" t="s">
        <v>2</v>
      </c>
      <c r="J8" t="s">
        <v>30</v>
      </c>
      <c r="K8" s="13" t="s">
        <v>18</v>
      </c>
      <c r="M8" t="s">
        <v>125</v>
      </c>
      <c r="N8" t="s">
        <v>91</v>
      </c>
      <c r="O8" t="s">
        <v>119</v>
      </c>
      <c r="P8" s="10">
        <v>100</v>
      </c>
      <c r="Q8" s="10">
        <v>100</v>
      </c>
      <c r="R8" t="s">
        <v>113</v>
      </c>
      <c r="T8">
        <v>100</v>
      </c>
      <c r="U8" s="17">
        <v>100</v>
      </c>
      <c r="V8">
        <v>10</v>
      </c>
      <c r="W8" s="17">
        <v>11</v>
      </c>
      <c r="X8" s="17">
        <v>50</v>
      </c>
      <c r="Y8" s="17">
        <v>50</v>
      </c>
      <c r="Z8" s="17">
        <v>10</v>
      </c>
      <c r="AB8" s="1">
        <v>44124</v>
      </c>
      <c r="AC8" s="17" t="s">
        <v>180</v>
      </c>
    </row>
    <row r="9" spans="1:29" x14ac:dyDescent="0.25">
      <c r="A9" s="15">
        <v>44197</v>
      </c>
      <c r="B9" s="15" t="s">
        <v>134</v>
      </c>
      <c r="C9" s="15">
        <v>44197</v>
      </c>
      <c r="D9" s="12">
        <v>18</v>
      </c>
      <c r="E9" s="12">
        <v>8</v>
      </c>
      <c r="F9" s="12">
        <v>45852</v>
      </c>
      <c r="H9" t="s">
        <v>126</v>
      </c>
      <c r="I9" t="s">
        <v>2</v>
      </c>
      <c r="J9" t="s">
        <v>30</v>
      </c>
      <c r="K9" s="13" t="s">
        <v>18</v>
      </c>
      <c r="M9" t="s">
        <v>127</v>
      </c>
      <c r="N9" t="s">
        <v>91</v>
      </c>
      <c r="O9" t="s">
        <v>118</v>
      </c>
      <c r="P9" s="10">
        <v>10</v>
      </c>
      <c r="Q9" s="10">
        <v>10</v>
      </c>
      <c r="R9" t="s">
        <v>110</v>
      </c>
      <c r="T9">
        <v>11</v>
      </c>
      <c r="U9" s="17">
        <v>12</v>
      </c>
      <c r="V9">
        <v>16</v>
      </c>
      <c r="W9" s="17">
        <v>17</v>
      </c>
      <c r="X9" s="17">
        <v>13</v>
      </c>
      <c r="Y9" s="17">
        <v>14</v>
      </c>
      <c r="Z9" s="17">
        <v>15</v>
      </c>
      <c r="AB9" s="1">
        <v>44124</v>
      </c>
      <c r="AC9" s="17" t="s">
        <v>179</v>
      </c>
    </row>
    <row r="10" spans="1:29" x14ac:dyDescent="0.25">
      <c r="A10" s="15">
        <v>44228</v>
      </c>
      <c r="B10" s="15">
        <v>44197</v>
      </c>
      <c r="C10" s="15">
        <v>44197</v>
      </c>
      <c r="E10" s="12">
        <v>9</v>
      </c>
      <c r="F10" s="12">
        <v>125</v>
      </c>
      <c r="G10" s="10">
        <v>125</v>
      </c>
      <c r="H10" t="s">
        <v>129</v>
      </c>
      <c r="I10" t="s">
        <v>128</v>
      </c>
      <c r="J10" t="s">
        <v>30</v>
      </c>
      <c r="K10" s="13" t="s">
        <v>18</v>
      </c>
      <c r="M10" t="s">
        <v>93</v>
      </c>
      <c r="N10" t="s">
        <v>91</v>
      </c>
      <c r="P10" s="10">
        <v>15</v>
      </c>
      <c r="R10" t="s">
        <v>115</v>
      </c>
      <c r="AB10" s="1">
        <v>44124</v>
      </c>
      <c r="AC10" s="17" t="s">
        <v>179</v>
      </c>
    </row>
    <row r="11" spans="1:29" x14ac:dyDescent="0.25">
      <c r="A11" s="15">
        <v>44197</v>
      </c>
      <c r="B11" s="15">
        <v>44197</v>
      </c>
      <c r="C11" s="15" t="s">
        <v>92</v>
      </c>
      <c r="E11" s="12">
        <v>10</v>
      </c>
      <c r="F11" s="12">
        <v>158</v>
      </c>
      <c r="G11" s="10">
        <v>123</v>
      </c>
      <c r="H11" t="s">
        <v>133</v>
      </c>
      <c r="I11" t="s">
        <v>132</v>
      </c>
      <c r="J11" t="s">
        <v>30</v>
      </c>
      <c r="K11" s="13" t="s">
        <v>18</v>
      </c>
      <c r="M11" t="s">
        <v>93</v>
      </c>
      <c r="N11" t="s">
        <v>91</v>
      </c>
      <c r="P11" s="10">
        <v>10</v>
      </c>
      <c r="R11" t="s">
        <v>114</v>
      </c>
      <c r="AB11" s="1">
        <v>44124</v>
      </c>
      <c r="AC11" s="17" t="s">
        <v>180</v>
      </c>
    </row>
    <row r="12" spans="1:29" x14ac:dyDescent="0.25">
      <c r="A12" s="15">
        <v>44197</v>
      </c>
      <c r="B12" s="15">
        <v>44197</v>
      </c>
      <c r="C12" s="15">
        <v>44229</v>
      </c>
      <c r="E12" s="12">
        <v>1525</v>
      </c>
      <c r="F12" s="12">
        <v>1225</v>
      </c>
      <c r="G12" s="10">
        <v>1232</v>
      </c>
      <c r="H12" t="s">
        <v>173</v>
      </c>
      <c r="I12" t="s">
        <v>172</v>
      </c>
      <c r="J12" t="s">
        <v>30</v>
      </c>
      <c r="K12" s="13" t="s">
        <v>18</v>
      </c>
      <c r="M12" t="s">
        <v>153</v>
      </c>
      <c r="N12" t="s">
        <v>91</v>
      </c>
      <c r="O12" t="s">
        <v>121</v>
      </c>
      <c r="P12" s="10">
        <v>50</v>
      </c>
      <c r="R12" t="s">
        <v>111</v>
      </c>
      <c r="S12" s="17">
        <v>150</v>
      </c>
      <c r="T12">
        <v>150</v>
      </c>
      <c r="U12" s="17">
        <v>150</v>
      </c>
      <c r="V12">
        <v>150</v>
      </c>
      <c r="W12" s="17">
        <v>150</v>
      </c>
      <c r="X12" s="17">
        <v>150</v>
      </c>
      <c r="Y12" s="17">
        <v>150</v>
      </c>
      <c r="Z12" s="17">
        <v>150</v>
      </c>
      <c r="AA12" s="17">
        <v>150</v>
      </c>
      <c r="AB12" s="1">
        <v>44124</v>
      </c>
      <c r="AC12" s="17" t="s">
        <v>179</v>
      </c>
    </row>
    <row r="13" spans="1:29" x14ac:dyDescent="0.25">
      <c r="A13" s="15">
        <v>44197</v>
      </c>
      <c r="B13" s="15">
        <v>44226</v>
      </c>
      <c r="C13" s="15" t="s">
        <v>174</v>
      </c>
      <c r="E13" s="12">
        <v>122</v>
      </c>
      <c r="F13" s="12">
        <v>122</v>
      </c>
      <c r="G13" s="10">
        <v>122</v>
      </c>
      <c r="H13" t="s">
        <v>175</v>
      </c>
      <c r="I13" t="s">
        <v>2</v>
      </c>
      <c r="J13" t="s">
        <v>30</v>
      </c>
      <c r="K13" s="13" t="s">
        <v>18</v>
      </c>
      <c r="M13" t="s">
        <v>153</v>
      </c>
      <c r="N13" t="s">
        <v>99</v>
      </c>
      <c r="O13" t="s">
        <v>121</v>
      </c>
      <c r="P13" s="10" t="s">
        <v>176</v>
      </c>
      <c r="R13" t="s">
        <v>112</v>
      </c>
      <c r="AB13" s="1">
        <v>44124</v>
      </c>
      <c r="AC13" s="17" t="s">
        <v>179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27CFED-AA1F-4B05-BD95-C90421EF124D}">
  <sheetPr codeName="Planilha13">
    <pageSetUpPr fitToPage="1"/>
  </sheetPr>
  <dimension ref="A1:AC10"/>
  <sheetViews>
    <sheetView showGridLines="0" topLeftCell="B1" workbookViewId="0">
      <selection activeCell="F8" sqref="F8"/>
    </sheetView>
  </sheetViews>
  <sheetFormatPr defaultRowHeight="15" x14ac:dyDescent="0.25"/>
  <cols>
    <col min="1" max="1" width="23.42578125" hidden="1" customWidth="1"/>
    <col min="2" max="27" width="12.28515625" customWidth="1"/>
    <col min="28" max="29" width="23.42578125" hidden="1" customWidth="1"/>
    <col min="30" max="30" width="6.7109375" customWidth="1"/>
  </cols>
  <sheetData>
    <row r="1" spans="1:29" ht="36" customHeight="1" thickBot="1" x14ac:dyDescent="0.4">
      <c r="A1" s="36" t="s">
        <v>185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</row>
    <row r="2" spans="1:29" x14ac:dyDescent="0.25">
      <c r="B2" t="s">
        <v>182</v>
      </c>
      <c r="E2" s="28">
        <v>43831</v>
      </c>
      <c r="F2" s="26" t="s">
        <v>181</v>
      </c>
      <c r="G2" s="28">
        <v>44227</v>
      </c>
      <c r="H2" s="31"/>
      <c r="I2" s="31"/>
      <c r="J2" s="29" t="s">
        <v>160</v>
      </c>
      <c r="K2" s="29" t="s">
        <v>160</v>
      </c>
      <c r="L2" s="30" t="s">
        <v>53</v>
      </c>
      <c r="M2" s="30" t="s">
        <v>158</v>
      </c>
      <c r="N2" s="31"/>
      <c r="O2" s="31"/>
      <c r="P2" s="31"/>
      <c r="Q2" s="31"/>
      <c r="R2" s="31"/>
      <c r="S2" s="31"/>
      <c r="T2" s="31"/>
      <c r="U2" s="31"/>
      <c r="V2" s="31"/>
      <c r="W2" s="31"/>
      <c r="X2" s="31"/>
      <c r="Y2" s="31"/>
      <c r="Z2" s="31"/>
      <c r="AA2" s="31"/>
    </row>
    <row r="3" spans="1:29" x14ac:dyDescent="0.25">
      <c r="B3" s="27" t="s">
        <v>183</v>
      </c>
      <c r="C3" s="37" t="s">
        <v>91</v>
      </c>
      <c r="D3" s="37"/>
      <c r="E3" s="37"/>
      <c r="F3" s="37"/>
      <c r="G3" s="37"/>
      <c r="H3" s="31"/>
      <c r="I3" s="31"/>
      <c r="J3" s="32" t="str">
        <f>"&gt;="&amp;IF($E$2="",0,$E$2)</f>
        <v>&gt;=43831</v>
      </c>
      <c r="K3" s="32" t="str">
        <f>"&lt;="&amp;IF($G$2="",99999,$G$2)</f>
        <v>&lt;=44227</v>
      </c>
      <c r="L3" s="32" t="str">
        <f>IF($C$3&lt;&gt;"",$C$3,"")</f>
        <v>Marcilio</v>
      </c>
      <c r="M3" s="32" t="str">
        <f>IF($C$4&lt;&gt;"",$C$4,"")</f>
        <v/>
      </c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</row>
    <row r="4" spans="1:29" x14ac:dyDescent="0.25">
      <c r="B4" s="27" t="s">
        <v>184</v>
      </c>
      <c r="C4" s="37"/>
      <c r="D4" s="37"/>
      <c r="E4" s="37"/>
      <c r="F4" s="37"/>
      <c r="G4" s="37"/>
      <c r="H4" s="31"/>
      <c r="I4" s="31"/>
      <c r="J4" s="31"/>
      <c r="K4" s="31"/>
      <c r="L4" s="31"/>
      <c r="M4" s="31"/>
      <c r="N4" s="31"/>
      <c r="O4" s="31"/>
      <c r="P4" s="31"/>
      <c r="Q4" s="31"/>
      <c r="R4" s="31"/>
      <c r="S4" s="31"/>
      <c r="T4" s="31"/>
      <c r="U4" s="31"/>
      <c r="V4" s="31"/>
      <c r="W4" s="31"/>
      <c r="X4" s="31"/>
      <c r="Y4" s="31"/>
      <c r="Z4" s="31"/>
      <c r="AA4" s="31"/>
    </row>
    <row r="5" spans="1:29" x14ac:dyDescent="0.25">
      <c r="B5" s="33" t="s">
        <v>188</v>
      </c>
      <c r="E5" s="38"/>
      <c r="F5" s="38"/>
      <c r="H5" s="31"/>
      <c r="I5" s="31"/>
      <c r="J5" s="31"/>
      <c r="K5" s="31"/>
      <c r="L5" s="31"/>
      <c r="M5" s="31"/>
      <c r="N5" s="31"/>
      <c r="O5" s="31"/>
      <c r="P5" s="31"/>
      <c r="Q5" s="31"/>
      <c r="R5" s="31"/>
      <c r="S5" s="31"/>
      <c r="T5" s="31"/>
      <c r="U5" s="31"/>
      <c r="V5" s="31"/>
      <c r="W5" s="31"/>
      <c r="X5" s="31"/>
      <c r="Y5" s="31"/>
      <c r="Z5" s="31"/>
      <c r="AA5" s="31"/>
    </row>
    <row r="6" spans="1:29" x14ac:dyDescent="0.25">
      <c r="A6" s="21" t="s">
        <v>157</v>
      </c>
      <c r="B6" s="19" t="s">
        <v>160</v>
      </c>
      <c r="C6" s="19" t="s">
        <v>161</v>
      </c>
      <c r="D6" s="22" t="s">
        <v>46</v>
      </c>
      <c r="E6" s="22" t="s">
        <v>64</v>
      </c>
      <c r="F6" s="22" t="s">
        <v>65</v>
      </c>
      <c r="G6" s="23" t="s">
        <v>66</v>
      </c>
      <c r="H6" s="20" t="s">
        <v>49</v>
      </c>
      <c r="I6" s="20" t="s">
        <v>67</v>
      </c>
      <c r="J6" s="20" t="s">
        <v>50</v>
      </c>
      <c r="K6" s="20" t="s">
        <v>51</v>
      </c>
      <c r="L6" s="20" t="s">
        <v>68</v>
      </c>
      <c r="M6" s="20" t="s">
        <v>69</v>
      </c>
      <c r="N6" s="20" t="s">
        <v>53</v>
      </c>
      <c r="O6" s="20" t="s">
        <v>70</v>
      </c>
      <c r="P6" s="23" t="s">
        <v>71</v>
      </c>
      <c r="Q6" s="23" t="s">
        <v>72</v>
      </c>
      <c r="R6" s="20" t="s">
        <v>158</v>
      </c>
      <c r="S6" s="18" t="s">
        <v>73</v>
      </c>
      <c r="T6" s="20" t="s">
        <v>74</v>
      </c>
      <c r="U6" s="18" t="s">
        <v>75</v>
      </c>
      <c r="V6" s="20" t="s">
        <v>76</v>
      </c>
      <c r="W6" s="18" t="s">
        <v>77</v>
      </c>
      <c r="X6" s="18" t="s">
        <v>78</v>
      </c>
      <c r="Y6" s="18" t="s">
        <v>79</v>
      </c>
      <c r="Z6" s="18" t="s">
        <v>80</v>
      </c>
      <c r="AA6" s="18" t="s">
        <v>81</v>
      </c>
      <c r="AB6" s="24" t="s">
        <v>170</v>
      </c>
      <c r="AC6" s="25" t="s">
        <v>178</v>
      </c>
    </row>
    <row r="7" spans="1:29" x14ac:dyDescent="0.25">
      <c r="A7" s="15">
        <v>44197</v>
      </c>
      <c r="B7" s="15">
        <v>44197</v>
      </c>
      <c r="C7" s="15">
        <v>650</v>
      </c>
      <c r="D7" s="12"/>
      <c r="E7" s="12">
        <v>6</v>
      </c>
      <c r="F7" s="12">
        <v>525</v>
      </c>
      <c r="G7" s="10"/>
      <c r="H7" t="s">
        <v>123</v>
      </c>
      <c r="J7" t="s">
        <v>31</v>
      </c>
      <c r="K7" s="13" t="s">
        <v>18</v>
      </c>
      <c r="M7" t="s">
        <v>95</v>
      </c>
      <c r="N7" t="s">
        <v>91</v>
      </c>
      <c r="P7" s="10">
        <v>45</v>
      </c>
      <c r="Q7" s="10"/>
      <c r="R7" t="s">
        <v>113</v>
      </c>
      <c r="S7" s="17"/>
      <c r="U7" s="17"/>
      <c r="W7" s="17"/>
      <c r="X7" s="17"/>
      <c r="Y7" s="17"/>
      <c r="Z7" s="17"/>
      <c r="AA7" s="17"/>
      <c r="AB7" s="1">
        <v>44124</v>
      </c>
      <c r="AC7" s="17" t="s">
        <v>179</v>
      </c>
    </row>
    <row r="8" spans="1:29" x14ac:dyDescent="0.25">
      <c r="A8" s="15">
        <v>44228</v>
      </c>
      <c r="B8" s="15">
        <v>44197</v>
      </c>
      <c r="C8" s="15">
        <v>44197</v>
      </c>
      <c r="D8" s="12"/>
      <c r="E8" s="12">
        <v>9</v>
      </c>
      <c r="F8" s="12">
        <v>125</v>
      </c>
      <c r="G8" s="10">
        <v>125</v>
      </c>
      <c r="H8" t="s">
        <v>129</v>
      </c>
      <c r="I8" t="s">
        <v>128</v>
      </c>
      <c r="J8" t="s">
        <v>30</v>
      </c>
      <c r="K8" s="13" t="s">
        <v>18</v>
      </c>
      <c r="M8" t="s">
        <v>93</v>
      </c>
      <c r="N8" t="s">
        <v>91</v>
      </c>
      <c r="P8" s="10">
        <v>15</v>
      </c>
      <c r="Q8" s="10"/>
      <c r="R8" t="s">
        <v>115</v>
      </c>
      <c r="S8" s="17"/>
      <c r="U8" s="17"/>
      <c r="W8" s="17"/>
      <c r="X8" s="17"/>
      <c r="Y8" s="17"/>
      <c r="Z8" s="17"/>
      <c r="AA8" s="17"/>
      <c r="AB8" s="1">
        <v>44124</v>
      </c>
      <c r="AC8" s="17" t="s">
        <v>179</v>
      </c>
    </row>
    <row r="9" spans="1:29" x14ac:dyDescent="0.25">
      <c r="A9" s="15">
        <v>44197</v>
      </c>
      <c r="B9" s="15">
        <v>44197</v>
      </c>
      <c r="C9" s="15" t="s">
        <v>92</v>
      </c>
      <c r="D9" s="12"/>
      <c r="E9" s="12">
        <v>10</v>
      </c>
      <c r="F9" s="12">
        <v>158</v>
      </c>
      <c r="G9" s="10">
        <v>123</v>
      </c>
      <c r="H9" t="s">
        <v>133</v>
      </c>
      <c r="I9" t="s">
        <v>132</v>
      </c>
      <c r="J9" t="s">
        <v>30</v>
      </c>
      <c r="K9" s="13" t="s">
        <v>18</v>
      </c>
      <c r="M9" t="s">
        <v>93</v>
      </c>
      <c r="N9" t="s">
        <v>91</v>
      </c>
      <c r="P9" s="10">
        <v>10</v>
      </c>
      <c r="Q9" s="10"/>
      <c r="R9" t="s">
        <v>114</v>
      </c>
      <c r="S9" s="17"/>
      <c r="U9" s="17"/>
      <c r="W9" s="17"/>
      <c r="X9" s="17"/>
      <c r="Y9" s="17"/>
      <c r="Z9" s="17"/>
      <c r="AA9" s="17"/>
      <c r="AB9" s="1">
        <v>44124</v>
      </c>
      <c r="AC9" s="17" t="s">
        <v>180</v>
      </c>
    </row>
    <row r="10" spans="1:29" x14ac:dyDescent="0.25">
      <c r="A10" s="15">
        <v>44197</v>
      </c>
      <c r="B10" s="15">
        <v>44197</v>
      </c>
      <c r="C10" s="15">
        <v>44229</v>
      </c>
      <c r="D10" s="12"/>
      <c r="E10" s="12">
        <v>1525</v>
      </c>
      <c r="F10" s="12">
        <v>1225</v>
      </c>
      <c r="G10" s="10">
        <v>1232</v>
      </c>
      <c r="H10" t="s">
        <v>173</v>
      </c>
      <c r="I10" t="s">
        <v>172</v>
      </c>
      <c r="J10" t="s">
        <v>30</v>
      </c>
      <c r="K10" s="13" t="s">
        <v>18</v>
      </c>
      <c r="M10" t="s">
        <v>153</v>
      </c>
      <c r="N10" t="s">
        <v>91</v>
      </c>
      <c r="P10" s="10">
        <v>50</v>
      </c>
      <c r="Q10" s="10"/>
      <c r="R10" t="s">
        <v>111</v>
      </c>
      <c r="S10" s="17">
        <v>150</v>
      </c>
      <c r="T10">
        <v>150</v>
      </c>
      <c r="U10" s="17">
        <v>150</v>
      </c>
      <c r="V10">
        <v>150</v>
      </c>
      <c r="W10" s="17">
        <v>150</v>
      </c>
      <c r="X10" s="17">
        <v>150</v>
      </c>
      <c r="Y10" s="17">
        <v>150</v>
      </c>
      <c r="Z10" s="17">
        <v>150</v>
      </c>
      <c r="AA10" s="17">
        <v>150</v>
      </c>
      <c r="AB10" s="1">
        <v>44124</v>
      </c>
      <c r="AC10" s="17" t="s">
        <v>179</v>
      </c>
    </row>
  </sheetData>
  <mergeCells count="4">
    <mergeCell ref="A1:AA1"/>
    <mergeCell ref="C3:G3"/>
    <mergeCell ref="C4:G4"/>
    <mergeCell ref="E5:F5"/>
  </mergeCells>
  <pageMargins left="0.51181102362204722" right="0.51181102362204722" top="0.78740157480314965" bottom="0.78740157480314965" header="0.31496062992125984" footer="0.31496062992125984"/>
  <pageSetup paperSize="9" scale="42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C0D9FBC2-E99C-45E5-9E4D-3F74D5DE43A7}">
          <x14:formula1>
            <xm:f>CadSeguradora!$B$2:$B$22</xm:f>
          </x14:formula1>
          <xm:sqref>C4</xm:sqref>
        </x14:dataValidation>
        <x14:dataValidation type="list" allowBlank="1" showInputMessage="1" showErrorMessage="1" xr:uid="{2756B05D-3D76-4669-9F7B-1FDEE00DA2E3}">
          <x14:formula1>
            <xm:f>CadPerito!$A$2:$A$21</xm:f>
          </x14:formula1>
          <xm:sqref>C3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F7707-F95E-4841-8B03-98E75D6CEE1C}">
  <sheetPr codeName="Planilha12">
    <pageSetUpPr fitToPage="1"/>
  </sheetPr>
  <dimension ref="A1:AF21"/>
  <sheetViews>
    <sheetView tabSelected="1" topLeftCell="C1" zoomScaleNormal="100" workbookViewId="0">
      <selection activeCell="L5" sqref="L5"/>
    </sheetView>
  </sheetViews>
  <sheetFormatPr defaultRowHeight="15" x14ac:dyDescent="0.25"/>
  <cols>
    <col min="1" max="2" width="12.85546875" hidden="1" customWidth="1"/>
    <col min="3" max="3" width="12.85546875" customWidth="1"/>
    <col min="4" max="4" width="12.85546875" hidden="1" customWidth="1"/>
    <col min="5" max="8" width="12.85546875" customWidth="1"/>
    <col min="9" max="9" width="3.42578125" bestFit="1" customWidth="1"/>
    <col min="10" max="11" width="12.85546875" hidden="1" customWidth="1"/>
    <col min="12" max="12" width="18.140625" bestFit="1" customWidth="1"/>
    <col min="13" max="13" width="12.85546875" hidden="1" customWidth="1"/>
    <col min="14" max="14" width="9.140625" bestFit="1" customWidth="1"/>
    <col min="15" max="15" width="11.42578125" bestFit="1" customWidth="1"/>
    <col min="16" max="16" width="8.85546875" bestFit="1" customWidth="1"/>
    <col min="17" max="17" width="11.85546875" bestFit="1" customWidth="1"/>
    <col min="18" max="18" width="17.85546875" bestFit="1" customWidth="1"/>
    <col min="19" max="19" width="18.42578125" bestFit="1" customWidth="1"/>
    <col min="20" max="20" width="10.7109375" bestFit="1" customWidth="1"/>
    <col min="21" max="21" width="10.140625" bestFit="1" customWidth="1"/>
    <col min="22" max="26" width="12.85546875" hidden="1" customWidth="1"/>
    <col min="27" max="27" width="12.85546875" customWidth="1"/>
    <col min="28" max="32" width="17.140625" hidden="1" customWidth="1"/>
  </cols>
  <sheetData>
    <row r="1" spans="1:32" ht="39" customHeight="1" thickBot="1" x14ac:dyDescent="0.4">
      <c r="A1" s="36" t="s">
        <v>186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4"/>
      <c r="W1" s="34"/>
      <c r="X1" s="34"/>
      <c r="Y1" s="34"/>
      <c r="Z1" s="34"/>
      <c r="AA1" s="35"/>
    </row>
    <row r="2" spans="1:32" x14ac:dyDescent="0.25">
      <c r="C2" t="s">
        <v>182</v>
      </c>
      <c r="E2" s="28">
        <v>43101</v>
      </c>
      <c r="F2" s="26" t="s">
        <v>181</v>
      </c>
      <c r="G2" s="28">
        <v>44227</v>
      </c>
      <c r="AB2" s="6" t="s">
        <v>47</v>
      </c>
      <c r="AC2" s="6" t="s">
        <v>47</v>
      </c>
      <c r="AD2" s="4" t="s">
        <v>53</v>
      </c>
      <c r="AE2" s="4" t="s">
        <v>158</v>
      </c>
      <c r="AF2" s="4" t="s">
        <v>187</v>
      </c>
    </row>
    <row r="3" spans="1:32" x14ac:dyDescent="0.25">
      <c r="C3" s="27" t="s">
        <v>183</v>
      </c>
      <c r="E3" s="39" t="s">
        <v>91</v>
      </c>
      <c r="F3" s="39"/>
      <c r="AB3" s="32" t="str">
        <f>"&gt;="&amp;IF($E$2="",0,$E$2)</f>
        <v>&gt;=43101</v>
      </c>
      <c r="AC3" s="32" t="str">
        <f>"&lt;="&amp;IF($G$2="",99999,$G$2)</f>
        <v>&lt;=44227</v>
      </c>
      <c r="AD3" s="32" t="str">
        <f>IF($E$3&lt;&gt;"",$E$3,"")</f>
        <v>Marcilio</v>
      </c>
      <c r="AE3" s="32" t="str">
        <f>IF($E$4&lt;&gt;"",$E$4,"")</f>
        <v/>
      </c>
      <c r="AF3" t="str">
        <f>IF($E$5&lt;&gt;"",$E$5,"")</f>
        <v/>
      </c>
    </row>
    <row r="4" spans="1:32" x14ac:dyDescent="0.25">
      <c r="C4" s="27" t="s">
        <v>184</v>
      </c>
      <c r="E4" s="39"/>
      <c r="F4" s="39"/>
    </row>
    <row r="5" spans="1:32" x14ac:dyDescent="0.25">
      <c r="C5" s="33" t="s">
        <v>188</v>
      </c>
      <c r="E5" s="39"/>
      <c r="F5" s="39"/>
    </row>
    <row r="6" spans="1:32" x14ac:dyDescent="0.25">
      <c r="A6" s="6" t="s">
        <v>157</v>
      </c>
      <c r="B6" s="4" t="s">
        <v>46</v>
      </c>
      <c r="C6" s="6" t="s">
        <v>47</v>
      </c>
      <c r="D6" s="6" t="s">
        <v>162</v>
      </c>
      <c r="E6" s="4" t="s">
        <v>48</v>
      </c>
      <c r="F6" s="4" t="s">
        <v>64</v>
      </c>
      <c r="G6" s="4" t="s">
        <v>49</v>
      </c>
      <c r="H6" s="4" t="s">
        <v>50</v>
      </c>
      <c r="I6" s="4" t="s">
        <v>51</v>
      </c>
      <c r="J6" s="4" t="s">
        <v>52</v>
      </c>
      <c r="K6" s="4" t="s">
        <v>53</v>
      </c>
      <c r="L6" s="16" t="s">
        <v>54</v>
      </c>
      <c r="M6" s="4" t="s">
        <v>55</v>
      </c>
      <c r="N6" s="16" t="s">
        <v>146</v>
      </c>
      <c r="O6" s="16" t="s">
        <v>56</v>
      </c>
      <c r="P6" s="16" t="s">
        <v>57</v>
      </c>
      <c r="Q6" s="16" t="s">
        <v>58</v>
      </c>
      <c r="R6" s="16" t="s">
        <v>177</v>
      </c>
      <c r="S6" s="16" t="s">
        <v>59</v>
      </c>
      <c r="T6" s="16" t="s">
        <v>60</v>
      </c>
      <c r="U6" s="16" t="s">
        <v>61</v>
      </c>
      <c r="V6" s="4" t="s">
        <v>158</v>
      </c>
      <c r="W6" s="4" t="s">
        <v>187</v>
      </c>
      <c r="X6" s="4" t="s">
        <v>45</v>
      </c>
      <c r="Y6" s="4" t="s">
        <v>159</v>
      </c>
      <c r="Z6" s="14" t="s">
        <v>171</v>
      </c>
    </row>
    <row r="7" spans="1:32" x14ac:dyDescent="0.25">
      <c r="A7" s="1">
        <v>43863</v>
      </c>
      <c r="C7" s="1">
        <v>43863</v>
      </c>
      <c r="D7" s="1">
        <v>43863</v>
      </c>
      <c r="E7">
        <v>12</v>
      </c>
      <c r="G7" t="s">
        <v>140</v>
      </c>
      <c r="H7" t="s">
        <v>30</v>
      </c>
      <c r="I7" t="s">
        <v>18</v>
      </c>
      <c r="J7" t="s">
        <v>145</v>
      </c>
      <c r="K7" t="s">
        <v>91</v>
      </c>
      <c r="L7" s="17"/>
      <c r="N7" s="17"/>
      <c r="O7" s="17"/>
      <c r="P7" s="17"/>
      <c r="Q7" s="17"/>
      <c r="R7" s="17"/>
      <c r="S7" s="17"/>
      <c r="T7" s="17"/>
      <c r="U7" s="17"/>
      <c r="V7" t="s">
        <v>110</v>
      </c>
      <c r="W7" s="17" t="s">
        <v>179</v>
      </c>
      <c r="X7" s="17" t="s">
        <v>179</v>
      </c>
      <c r="Y7" t="s">
        <v>103</v>
      </c>
      <c r="Z7" s="15" t="s">
        <v>144</v>
      </c>
    </row>
    <row r="8" spans="1:32" x14ac:dyDescent="0.25">
      <c r="A8" s="1">
        <v>43863</v>
      </c>
      <c r="C8" s="1">
        <v>43863</v>
      </c>
      <c r="D8" s="1">
        <v>43863</v>
      </c>
      <c r="E8">
        <v>1202</v>
      </c>
      <c r="F8">
        <v>121</v>
      </c>
      <c r="G8" t="s">
        <v>150</v>
      </c>
      <c r="H8" t="s">
        <v>30</v>
      </c>
      <c r="I8" t="s">
        <v>18</v>
      </c>
      <c r="J8" t="s">
        <v>109</v>
      </c>
      <c r="K8" t="s">
        <v>91</v>
      </c>
      <c r="L8" s="17"/>
      <c r="N8" s="17"/>
      <c r="O8" s="17"/>
      <c r="P8" s="17"/>
      <c r="Q8" s="17"/>
      <c r="R8" s="17"/>
      <c r="S8" s="17"/>
      <c r="T8" s="17"/>
      <c r="U8" s="17"/>
      <c r="V8" t="s">
        <v>112</v>
      </c>
      <c r="W8" s="17" t="s">
        <v>179</v>
      </c>
      <c r="X8" s="17" t="s">
        <v>179</v>
      </c>
      <c r="Y8" t="s">
        <v>103</v>
      </c>
      <c r="Z8" s="15" t="s">
        <v>151</v>
      </c>
    </row>
    <row r="9" spans="1:32" x14ac:dyDescent="0.25">
      <c r="A9" s="1">
        <v>44197</v>
      </c>
      <c r="C9" s="1">
        <v>44197</v>
      </c>
      <c r="D9" s="1">
        <v>44197</v>
      </c>
      <c r="F9">
        <v>10021</v>
      </c>
      <c r="G9" t="s">
        <v>124</v>
      </c>
      <c r="H9" t="s">
        <v>30</v>
      </c>
      <c r="I9" t="s">
        <v>18</v>
      </c>
      <c r="J9" t="s">
        <v>156</v>
      </c>
      <c r="K9" t="s">
        <v>91</v>
      </c>
      <c r="L9" s="17"/>
      <c r="N9" s="17"/>
      <c r="O9" s="17"/>
      <c r="P9" s="17"/>
      <c r="Q9" s="17"/>
      <c r="R9" s="17"/>
      <c r="S9" s="17"/>
      <c r="T9" s="17"/>
      <c r="U9" s="17"/>
      <c r="V9" t="s">
        <v>115</v>
      </c>
      <c r="W9" s="17" t="s">
        <v>179</v>
      </c>
      <c r="X9" s="17" t="s">
        <v>179</v>
      </c>
      <c r="Y9" t="s">
        <v>103</v>
      </c>
      <c r="Z9" s="15" t="s">
        <v>92</v>
      </c>
    </row>
    <row r="10" spans="1:32" x14ac:dyDescent="0.25">
      <c r="A10" s="1"/>
      <c r="C10" s="1"/>
      <c r="D10" s="1"/>
      <c r="L10" s="17"/>
      <c r="N10" s="17"/>
      <c r="O10" s="17"/>
      <c r="P10" s="17"/>
      <c r="Q10" s="17"/>
      <c r="R10" s="17"/>
      <c r="S10" s="17"/>
      <c r="T10" s="17"/>
      <c r="U10" s="17"/>
      <c r="W10" s="17"/>
      <c r="X10" s="17"/>
      <c r="Z10" s="15"/>
    </row>
    <row r="11" spans="1:32" x14ac:dyDescent="0.25">
      <c r="A11" s="1"/>
      <c r="C11" s="1"/>
      <c r="D11" s="1"/>
      <c r="L11" s="17"/>
      <c r="N11" s="17"/>
      <c r="O11" s="17"/>
      <c r="P11" s="17"/>
      <c r="Q11" s="17"/>
      <c r="R11" s="17"/>
      <c r="S11" s="17"/>
      <c r="T11" s="17"/>
      <c r="U11" s="17"/>
      <c r="W11" s="17"/>
      <c r="X11" s="17"/>
      <c r="Z11" s="15"/>
    </row>
    <row r="12" spans="1:32" x14ac:dyDescent="0.25">
      <c r="A12" s="1"/>
      <c r="C12" s="1"/>
      <c r="D12" s="1"/>
      <c r="E12" s="1"/>
      <c r="L12" s="17"/>
      <c r="N12" s="17"/>
      <c r="O12" s="17"/>
      <c r="P12" s="17"/>
      <c r="Q12" s="17"/>
      <c r="R12" s="17"/>
      <c r="S12" s="17"/>
      <c r="T12" s="17"/>
      <c r="U12" s="17"/>
      <c r="W12" s="17"/>
      <c r="X12" s="17"/>
      <c r="Z12" s="15"/>
    </row>
    <row r="13" spans="1:32" x14ac:dyDescent="0.25">
      <c r="A13" s="1"/>
      <c r="C13" s="1"/>
      <c r="D13" s="1"/>
      <c r="L13" s="17"/>
      <c r="N13" s="17"/>
      <c r="O13" s="17"/>
      <c r="P13" s="17"/>
      <c r="Q13" s="17"/>
      <c r="R13" s="17"/>
      <c r="S13" s="17"/>
      <c r="T13" s="17"/>
      <c r="U13" s="17"/>
      <c r="W13" s="17"/>
      <c r="X13" s="17"/>
      <c r="Z13" s="15"/>
    </row>
    <row r="14" spans="1:32" x14ac:dyDescent="0.25">
      <c r="A14" s="1"/>
      <c r="C14" s="1"/>
      <c r="D14" s="1"/>
      <c r="L14" s="17"/>
      <c r="N14" s="17"/>
      <c r="O14" s="17"/>
      <c r="P14" s="17"/>
      <c r="Q14" s="17"/>
      <c r="R14" s="17"/>
      <c r="S14" s="17"/>
      <c r="T14" s="17"/>
      <c r="U14" s="17"/>
      <c r="W14" s="17"/>
      <c r="X14" s="17"/>
      <c r="Z14" s="15"/>
    </row>
    <row r="15" spans="1:32" x14ac:dyDescent="0.25">
      <c r="A15" s="1"/>
      <c r="C15" s="1"/>
      <c r="D15" s="1"/>
      <c r="L15" s="17"/>
      <c r="N15" s="17"/>
      <c r="O15" s="17"/>
      <c r="P15" s="17"/>
      <c r="Q15" s="17"/>
      <c r="R15" s="17"/>
      <c r="S15" s="17"/>
      <c r="T15" s="17"/>
      <c r="U15" s="17"/>
      <c r="W15" s="17"/>
      <c r="X15" s="17"/>
      <c r="Z15" s="15"/>
    </row>
    <row r="16" spans="1:32" x14ac:dyDescent="0.25">
      <c r="A16" s="1"/>
      <c r="C16" s="1"/>
      <c r="D16" s="1"/>
      <c r="L16" s="17"/>
      <c r="N16" s="17"/>
      <c r="O16" s="17"/>
      <c r="P16" s="17"/>
      <c r="Q16" s="17"/>
      <c r="R16" s="17"/>
      <c r="S16" s="17"/>
      <c r="T16" s="17"/>
      <c r="U16" s="17"/>
      <c r="W16" s="17"/>
      <c r="X16" s="17"/>
      <c r="Z16" s="15"/>
    </row>
    <row r="17" spans="1:26" x14ac:dyDescent="0.25">
      <c r="A17" s="1"/>
      <c r="C17" s="1"/>
      <c r="D17" s="1"/>
      <c r="L17" s="17"/>
      <c r="N17" s="17"/>
      <c r="O17" s="17"/>
      <c r="P17" s="17"/>
      <c r="Q17" s="17"/>
      <c r="R17" s="17"/>
      <c r="S17" s="17"/>
      <c r="T17" s="17"/>
      <c r="U17" s="17"/>
      <c r="W17" s="17"/>
      <c r="X17" s="17"/>
      <c r="Z17" s="15"/>
    </row>
    <row r="18" spans="1:26" x14ac:dyDescent="0.25">
      <c r="A18" s="1"/>
      <c r="C18" s="1"/>
      <c r="D18" s="1"/>
      <c r="L18" s="17"/>
      <c r="N18" s="17"/>
      <c r="O18" s="17"/>
      <c r="P18" s="17"/>
      <c r="Q18" s="17"/>
      <c r="R18" s="17"/>
      <c r="S18" s="17"/>
      <c r="T18" s="17"/>
      <c r="U18" s="17"/>
      <c r="W18" s="17"/>
      <c r="X18" s="17"/>
      <c r="Z18" s="15"/>
    </row>
    <row r="19" spans="1:26" x14ac:dyDescent="0.25">
      <c r="A19" s="1"/>
      <c r="C19" s="1"/>
      <c r="D19" s="1"/>
      <c r="L19" s="17"/>
      <c r="N19" s="17"/>
      <c r="O19" s="17"/>
      <c r="P19" s="17"/>
      <c r="Q19" s="17"/>
      <c r="R19" s="17"/>
      <c r="S19" s="17"/>
      <c r="T19" s="17"/>
      <c r="U19" s="17"/>
      <c r="W19" s="17"/>
      <c r="X19" s="17"/>
      <c r="Z19" s="15"/>
    </row>
    <row r="20" spans="1:26" x14ac:dyDescent="0.25">
      <c r="A20" s="1"/>
      <c r="C20" s="1"/>
      <c r="D20" s="1"/>
      <c r="L20" s="17"/>
      <c r="N20" s="17"/>
      <c r="O20" s="17"/>
      <c r="P20" s="17"/>
      <c r="Q20" s="17"/>
      <c r="R20" s="17"/>
      <c r="S20" s="17"/>
      <c r="T20" s="17"/>
      <c r="U20" s="17"/>
      <c r="W20" s="17"/>
      <c r="X20" s="17"/>
      <c r="Z20" s="15"/>
    </row>
    <row r="21" spans="1:26" x14ac:dyDescent="0.25">
      <c r="A21" s="1"/>
      <c r="C21" s="1"/>
      <c r="D21" s="1"/>
      <c r="L21" s="17"/>
      <c r="N21" s="17"/>
      <c r="O21" s="17"/>
      <c r="P21" s="17"/>
      <c r="Q21" s="17"/>
      <c r="R21" s="17"/>
      <c r="S21" s="17"/>
      <c r="T21" s="17"/>
      <c r="U21" s="17"/>
      <c r="W21" s="17"/>
      <c r="X21" s="17"/>
      <c r="Z21" s="15"/>
    </row>
  </sheetData>
  <sortState xmlns:xlrd2="http://schemas.microsoft.com/office/spreadsheetml/2017/richdata2" ref="C7:U21">
    <sortCondition ref="C7:C21"/>
  </sortState>
  <mergeCells count="4">
    <mergeCell ref="E3:F3"/>
    <mergeCell ref="E5:F5"/>
    <mergeCell ref="E4:F4"/>
    <mergeCell ref="A1:U1"/>
  </mergeCells>
  <pageMargins left="0.511811024" right="0.511811024" top="0.78740157499999996" bottom="0.78740157499999996" header="0.31496062000000002" footer="0.31496062000000002"/>
  <pageSetup paperSize="9" scale="73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F5D31B5-BA79-4343-B12F-DDA32A851FB7}">
          <x14:formula1>
            <xm:f>CadPerito!$A$2:$A$22</xm:f>
          </x14:formula1>
          <xm:sqref>E3:F3</xm:sqref>
        </x14:dataValidation>
        <x14:dataValidation type="list" allowBlank="1" showInputMessage="1" showErrorMessage="1" xr:uid="{BF328E64-39B8-49A5-A24D-0C0420AC2B20}">
          <x14:formula1>
            <xm:f>CadSeguradora!$B$2:$B$22</xm:f>
          </x14:formula1>
          <xm:sqref>E4:F4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4ED952-212E-45E5-B8B6-F8787E2F7EEF}">
  <sheetPr codeName="Planilha5"/>
  <dimension ref="A1:Z18"/>
  <sheetViews>
    <sheetView topLeftCell="H1" workbookViewId="0">
      <selection activeCell="L2" sqref="L2"/>
    </sheetView>
  </sheetViews>
  <sheetFormatPr defaultRowHeight="15" x14ac:dyDescent="0.25"/>
  <cols>
    <col min="1" max="1" width="21.140625" style="1" bestFit="1" customWidth="1"/>
    <col min="2" max="2" width="8" bestFit="1" customWidth="1"/>
    <col min="3" max="4" width="22.140625" style="1" customWidth="1"/>
    <col min="5" max="5" width="13.42578125" bestFit="1" customWidth="1"/>
    <col min="6" max="6" width="13.7109375" bestFit="1" customWidth="1"/>
    <col min="7" max="7" width="15.5703125" bestFit="1" customWidth="1"/>
    <col min="8" max="8" width="16.140625" bestFit="1" customWidth="1"/>
    <col min="9" max="9" width="8.140625" bestFit="1" customWidth="1"/>
    <col min="10" max="10" width="27.28515625" bestFit="1" customWidth="1"/>
    <col min="11" max="11" width="12.28515625" bestFit="1" customWidth="1"/>
    <col min="12" max="12" width="22.7109375" style="17" bestFit="1" customWidth="1"/>
    <col min="13" max="13" width="9.85546875" bestFit="1" customWidth="1"/>
    <col min="14" max="14" width="12.5703125" bestFit="1" customWidth="1"/>
    <col min="15" max="15" width="16" style="17" bestFit="1" customWidth="1"/>
    <col min="16" max="16" width="13.42578125" style="17" bestFit="1" customWidth="1"/>
    <col min="17" max="17" width="16.42578125" style="17" bestFit="1" customWidth="1"/>
    <col min="18" max="18" width="22.42578125" style="17" bestFit="1" customWidth="1"/>
    <col min="19" max="19" width="23" style="17" bestFit="1" customWidth="1"/>
    <col min="20" max="20" width="15.28515625" style="17" bestFit="1" customWidth="1"/>
    <col min="21" max="21" width="14.28515625" style="17" bestFit="1" customWidth="1"/>
    <col min="22" max="22" width="22.140625" customWidth="1"/>
    <col min="23" max="23" width="14.140625" bestFit="1" customWidth="1"/>
    <col min="24" max="24" width="20.42578125" bestFit="1" customWidth="1"/>
    <col min="25" max="25" width="13.85546875" bestFit="1" customWidth="1"/>
    <col min="26" max="26" width="16.5703125" style="15" bestFit="1" customWidth="1"/>
  </cols>
  <sheetData>
    <row r="1" spans="1:26" s="5" customFormat="1" ht="30" customHeight="1" x14ac:dyDescent="0.25">
      <c r="A1" s="6" t="s">
        <v>157</v>
      </c>
      <c r="B1" s="4" t="s">
        <v>46</v>
      </c>
      <c r="C1" s="6" t="s">
        <v>47</v>
      </c>
      <c r="D1" s="6" t="s">
        <v>162</v>
      </c>
      <c r="E1" s="4" t="s">
        <v>48</v>
      </c>
      <c r="F1" s="4" t="s">
        <v>64</v>
      </c>
      <c r="G1" s="4" t="s">
        <v>49</v>
      </c>
      <c r="H1" s="4" t="s">
        <v>50</v>
      </c>
      <c r="I1" s="4" t="s">
        <v>51</v>
      </c>
      <c r="J1" s="4" t="s">
        <v>52</v>
      </c>
      <c r="K1" s="4" t="s">
        <v>53</v>
      </c>
      <c r="L1" s="16" t="s">
        <v>54</v>
      </c>
      <c r="M1" s="4" t="s">
        <v>55</v>
      </c>
      <c r="N1" s="16" t="s">
        <v>146</v>
      </c>
      <c r="O1" s="16" t="s">
        <v>56</v>
      </c>
      <c r="P1" s="16" t="s">
        <v>57</v>
      </c>
      <c r="Q1" s="16" t="s">
        <v>58</v>
      </c>
      <c r="R1" s="16" t="s">
        <v>177</v>
      </c>
      <c r="S1" s="16" t="s">
        <v>59</v>
      </c>
      <c r="T1" s="16" t="s">
        <v>60</v>
      </c>
      <c r="U1" s="16" t="s">
        <v>61</v>
      </c>
      <c r="V1" s="4" t="s">
        <v>158</v>
      </c>
      <c r="W1" s="4" t="s">
        <v>187</v>
      </c>
      <c r="X1" s="4" t="s">
        <v>45</v>
      </c>
      <c r="Y1" s="4" t="s">
        <v>159</v>
      </c>
      <c r="Z1" s="14" t="s">
        <v>171</v>
      </c>
    </row>
    <row r="2" spans="1:26" x14ac:dyDescent="0.25">
      <c r="A2" s="1">
        <v>43863</v>
      </c>
      <c r="B2">
        <v>100</v>
      </c>
      <c r="C2" s="1">
        <v>43831</v>
      </c>
      <c r="D2" s="1">
        <v>43863</v>
      </c>
      <c r="E2">
        <v>22</v>
      </c>
      <c r="F2">
        <v>45</v>
      </c>
      <c r="G2" t="s">
        <v>89</v>
      </c>
      <c r="H2" t="s">
        <v>30</v>
      </c>
      <c r="I2" t="s">
        <v>18</v>
      </c>
      <c r="J2" t="s">
        <v>155</v>
      </c>
      <c r="K2" t="s">
        <v>2</v>
      </c>
      <c r="M2">
        <v>10</v>
      </c>
      <c r="N2" s="17">
        <v>21</v>
      </c>
      <c r="O2" s="17">
        <v>50</v>
      </c>
      <c r="P2" s="17">
        <v>10</v>
      </c>
      <c r="Q2" s="17">
        <v>11</v>
      </c>
      <c r="R2" s="17">
        <v>50</v>
      </c>
      <c r="S2" s="17">
        <v>120</v>
      </c>
      <c r="T2" s="17">
        <v>11</v>
      </c>
      <c r="U2" s="17">
        <v>223</v>
      </c>
      <c r="V2" t="s">
        <v>113</v>
      </c>
      <c r="W2" s="17" t="s">
        <v>179</v>
      </c>
      <c r="X2" s="17" t="s">
        <v>179</v>
      </c>
      <c r="Y2" t="s">
        <v>103</v>
      </c>
      <c r="Z2" s="15" t="s">
        <v>144</v>
      </c>
    </row>
    <row r="3" spans="1:26" x14ac:dyDescent="0.25">
      <c r="A3" s="1">
        <v>43863</v>
      </c>
      <c r="B3">
        <v>7</v>
      </c>
      <c r="C3" s="1">
        <v>43863</v>
      </c>
      <c r="D3" s="1">
        <v>43863</v>
      </c>
      <c r="E3">
        <v>23</v>
      </c>
      <c r="G3">
        <v>22</v>
      </c>
      <c r="H3" t="s">
        <v>30</v>
      </c>
      <c r="I3" t="s">
        <v>18</v>
      </c>
      <c r="J3" t="s">
        <v>84</v>
      </c>
      <c r="K3" t="s">
        <v>63</v>
      </c>
      <c r="M3">
        <v>1</v>
      </c>
      <c r="N3" s="17">
        <v>3</v>
      </c>
      <c r="O3" s="17">
        <v>2</v>
      </c>
      <c r="P3" s="17">
        <v>4</v>
      </c>
      <c r="Q3" s="17">
        <v>5</v>
      </c>
      <c r="R3" s="17">
        <v>8</v>
      </c>
      <c r="S3" s="17">
        <v>9</v>
      </c>
      <c r="T3" s="17">
        <v>6</v>
      </c>
      <c r="U3" s="17">
        <v>35</v>
      </c>
      <c r="V3" t="s">
        <v>113</v>
      </c>
      <c r="W3" s="17" t="s">
        <v>180</v>
      </c>
      <c r="X3" s="17" t="s">
        <v>180</v>
      </c>
      <c r="Y3" t="s">
        <v>103</v>
      </c>
      <c r="Z3" s="15" t="s">
        <v>144</v>
      </c>
    </row>
    <row r="4" spans="1:26" x14ac:dyDescent="0.25">
      <c r="A4" s="1">
        <v>43863</v>
      </c>
      <c r="C4" s="1">
        <v>43864</v>
      </c>
      <c r="D4" s="1">
        <v>43863</v>
      </c>
      <c r="E4">
        <v>24</v>
      </c>
      <c r="G4">
        <v>22</v>
      </c>
      <c r="H4" t="s">
        <v>30</v>
      </c>
      <c r="I4" t="s">
        <v>18</v>
      </c>
      <c r="J4" t="s">
        <v>84</v>
      </c>
      <c r="K4" t="s">
        <v>63</v>
      </c>
      <c r="N4" s="17"/>
      <c r="V4" t="s">
        <v>110</v>
      </c>
      <c r="W4" s="17" t="s">
        <v>179</v>
      </c>
      <c r="X4" s="17" t="s">
        <v>179</v>
      </c>
      <c r="Y4" t="s">
        <v>103</v>
      </c>
      <c r="Z4" s="15" t="s">
        <v>144</v>
      </c>
    </row>
    <row r="5" spans="1:26" x14ac:dyDescent="0.25">
      <c r="A5" s="1">
        <v>43863</v>
      </c>
      <c r="C5" s="1">
        <v>44229</v>
      </c>
      <c r="D5" s="1">
        <v>43863</v>
      </c>
      <c r="E5">
        <v>25</v>
      </c>
      <c r="G5" t="s">
        <v>88</v>
      </c>
      <c r="H5" t="s">
        <v>33</v>
      </c>
      <c r="I5" t="s">
        <v>18</v>
      </c>
      <c r="J5" t="s">
        <v>90</v>
      </c>
      <c r="K5" t="s">
        <v>2</v>
      </c>
      <c r="N5" s="17"/>
      <c r="V5" t="s">
        <v>113</v>
      </c>
      <c r="W5" s="17" t="s">
        <v>179</v>
      </c>
      <c r="X5" s="17" t="s">
        <v>179</v>
      </c>
      <c r="Y5" t="s">
        <v>103</v>
      </c>
      <c r="Z5" s="15" t="s">
        <v>144</v>
      </c>
    </row>
    <row r="6" spans="1:26" x14ac:dyDescent="0.25">
      <c r="A6" s="1">
        <v>43863</v>
      </c>
      <c r="C6" s="1">
        <v>43863</v>
      </c>
      <c r="D6" s="1">
        <v>43863</v>
      </c>
      <c r="E6">
        <v>26</v>
      </c>
      <c r="G6">
        <v>22</v>
      </c>
      <c r="H6" t="s">
        <v>30</v>
      </c>
      <c r="I6" t="s">
        <v>18</v>
      </c>
      <c r="J6" t="s">
        <v>84</v>
      </c>
      <c r="K6" t="s">
        <v>63</v>
      </c>
      <c r="N6" s="17"/>
      <c r="V6" t="s">
        <v>113</v>
      </c>
      <c r="W6" s="17" t="s">
        <v>180</v>
      </c>
      <c r="X6" s="17" t="s">
        <v>180</v>
      </c>
      <c r="Z6" s="15" t="s">
        <v>144</v>
      </c>
    </row>
    <row r="7" spans="1:26" x14ac:dyDescent="0.25">
      <c r="A7" s="1">
        <v>43863</v>
      </c>
      <c r="C7" s="1">
        <v>43863</v>
      </c>
      <c r="D7" s="1">
        <v>43863</v>
      </c>
      <c r="E7">
        <v>27</v>
      </c>
      <c r="G7">
        <v>22</v>
      </c>
      <c r="H7" t="s">
        <v>30</v>
      </c>
      <c r="I7" t="s">
        <v>18</v>
      </c>
      <c r="J7" t="s">
        <v>62</v>
      </c>
      <c r="K7" t="s">
        <v>63</v>
      </c>
      <c r="N7" s="17"/>
      <c r="V7" t="s">
        <v>110</v>
      </c>
      <c r="W7" s="17" t="s">
        <v>179</v>
      </c>
      <c r="X7" s="17" t="s">
        <v>179</v>
      </c>
      <c r="Z7" s="15" t="s">
        <v>144</v>
      </c>
    </row>
    <row r="8" spans="1:26" x14ac:dyDescent="0.25">
      <c r="A8" s="1">
        <v>43863</v>
      </c>
      <c r="C8" s="1">
        <v>43863</v>
      </c>
      <c r="D8" s="1">
        <v>43863</v>
      </c>
      <c r="E8" s="1">
        <v>44470</v>
      </c>
      <c r="I8" t="s">
        <v>91</v>
      </c>
      <c r="J8" t="s">
        <v>30</v>
      </c>
      <c r="K8" t="s">
        <v>18</v>
      </c>
      <c r="N8" s="17"/>
      <c r="V8" t="s">
        <v>110</v>
      </c>
      <c r="W8" s="17" t="s">
        <v>180</v>
      </c>
      <c r="X8" s="17" t="s">
        <v>180</v>
      </c>
      <c r="Z8" s="15" t="s">
        <v>144</v>
      </c>
    </row>
    <row r="9" spans="1:26" x14ac:dyDescent="0.25">
      <c r="A9" s="1">
        <v>43863</v>
      </c>
      <c r="B9">
        <v>2</v>
      </c>
      <c r="C9" s="1">
        <v>43863</v>
      </c>
      <c r="D9" s="1">
        <v>43863</v>
      </c>
      <c r="E9">
        <v>5</v>
      </c>
      <c r="F9">
        <v>24</v>
      </c>
      <c r="G9">
        <v>6</v>
      </c>
      <c r="H9">
        <v>7</v>
      </c>
      <c r="I9">
        <v>8</v>
      </c>
      <c r="J9">
        <v>9</v>
      </c>
      <c r="K9">
        <v>10</v>
      </c>
      <c r="L9" s="17">
        <v>11</v>
      </c>
      <c r="M9">
        <v>12</v>
      </c>
      <c r="N9" s="17">
        <v>25</v>
      </c>
      <c r="O9" s="17">
        <v>13</v>
      </c>
      <c r="P9" s="17">
        <v>14</v>
      </c>
      <c r="Q9" s="17">
        <v>15</v>
      </c>
      <c r="R9" s="17">
        <v>16</v>
      </c>
      <c r="S9" s="17">
        <v>17</v>
      </c>
      <c r="T9" s="17">
        <v>18</v>
      </c>
      <c r="U9" s="17">
        <v>19</v>
      </c>
      <c r="V9">
        <v>20</v>
      </c>
      <c r="W9" s="17" t="s">
        <v>179</v>
      </c>
      <c r="X9" s="17" t="s">
        <v>179</v>
      </c>
      <c r="Y9">
        <v>22</v>
      </c>
      <c r="Z9" s="15" t="s">
        <v>144</v>
      </c>
    </row>
    <row r="10" spans="1:26" x14ac:dyDescent="0.25">
      <c r="A10" s="1">
        <v>43863</v>
      </c>
      <c r="C10" s="1">
        <v>43498</v>
      </c>
      <c r="D10" s="1">
        <v>43863</v>
      </c>
      <c r="E10">
        <v>123</v>
      </c>
      <c r="G10" t="s">
        <v>140</v>
      </c>
      <c r="H10" t="s">
        <v>30</v>
      </c>
      <c r="I10" t="s">
        <v>18</v>
      </c>
      <c r="J10" t="s">
        <v>141</v>
      </c>
      <c r="K10" t="s">
        <v>99</v>
      </c>
      <c r="N10" s="17"/>
      <c r="V10" t="s">
        <v>112</v>
      </c>
      <c r="W10" s="17" t="s">
        <v>179</v>
      </c>
      <c r="X10" s="17" t="s">
        <v>179</v>
      </c>
      <c r="Y10" t="s">
        <v>103</v>
      </c>
      <c r="Z10" s="15" t="s">
        <v>144</v>
      </c>
    </row>
    <row r="11" spans="1:26" x14ac:dyDescent="0.25">
      <c r="A11" s="1">
        <v>43863</v>
      </c>
      <c r="C11" s="1">
        <v>43863</v>
      </c>
      <c r="D11" s="1">
        <v>43863</v>
      </c>
      <c r="E11">
        <v>123</v>
      </c>
      <c r="G11" t="s">
        <v>142</v>
      </c>
      <c r="H11" t="s">
        <v>30</v>
      </c>
      <c r="I11" t="s">
        <v>18</v>
      </c>
      <c r="J11" t="s">
        <v>143</v>
      </c>
      <c r="K11" t="s">
        <v>99</v>
      </c>
      <c r="N11" s="17"/>
      <c r="V11" t="s">
        <v>113</v>
      </c>
      <c r="W11" s="17" t="s">
        <v>180</v>
      </c>
      <c r="X11" s="17" t="s">
        <v>180</v>
      </c>
      <c r="Y11" t="s">
        <v>103</v>
      </c>
      <c r="Z11" s="15" t="s">
        <v>144</v>
      </c>
    </row>
    <row r="12" spans="1:26" x14ac:dyDescent="0.25">
      <c r="A12" s="1">
        <v>43863</v>
      </c>
      <c r="C12" s="1">
        <v>43863</v>
      </c>
      <c r="D12" s="1">
        <v>43863</v>
      </c>
      <c r="E12">
        <v>123</v>
      </c>
      <c r="G12" t="s">
        <v>142</v>
      </c>
      <c r="H12" t="s">
        <v>30</v>
      </c>
      <c r="I12" t="s">
        <v>18</v>
      </c>
      <c r="J12" t="s">
        <v>141</v>
      </c>
      <c r="K12" t="s">
        <v>99</v>
      </c>
      <c r="N12" s="17"/>
      <c r="V12" t="s">
        <v>113</v>
      </c>
      <c r="W12" s="17" t="s">
        <v>179</v>
      </c>
      <c r="X12" s="17" t="s">
        <v>179</v>
      </c>
      <c r="Y12" t="s">
        <v>103</v>
      </c>
      <c r="Z12" s="15" t="s">
        <v>144</v>
      </c>
    </row>
    <row r="13" spans="1:26" x14ac:dyDescent="0.25">
      <c r="A13" s="1">
        <v>43863</v>
      </c>
      <c r="C13" s="1">
        <v>43863</v>
      </c>
      <c r="D13" s="1">
        <v>43863</v>
      </c>
      <c r="E13">
        <v>12</v>
      </c>
      <c r="G13" t="s">
        <v>140</v>
      </c>
      <c r="H13" t="s">
        <v>30</v>
      </c>
      <c r="I13" t="s">
        <v>18</v>
      </c>
      <c r="J13" t="s">
        <v>145</v>
      </c>
      <c r="K13" t="s">
        <v>91</v>
      </c>
      <c r="N13" s="17"/>
      <c r="V13" t="s">
        <v>110</v>
      </c>
      <c r="W13" s="17" t="s">
        <v>179</v>
      </c>
      <c r="X13" s="17" t="s">
        <v>179</v>
      </c>
      <c r="Y13" t="s">
        <v>103</v>
      </c>
      <c r="Z13" s="15" t="s">
        <v>144</v>
      </c>
    </row>
    <row r="14" spans="1:26" x14ac:dyDescent="0.25">
      <c r="A14" s="1">
        <v>43863</v>
      </c>
      <c r="C14" s="1">
        <v>43863</v>
      </c>
      <c r="D14" s="1">
        <v>43863</v>
      </c>
      <c r="E14">
        <v>1202</v>
      </c>
      <c r="F14">
        <v>121</v>
      </c>
      <c r="G14" t="s">
        <v>150</v>
      </c>
      <c r="H14" t="s">
        <v>30</v>
      </c>
      <c r="I14" t="s">
        <v>18</v>
      </c>
      <c r="J14" t="s">
        <v>109</v>
      </c>
      <c r="K14" t="s">
        <v>91</v>
      </c>
      <c r="N14" s="17"/>
      <c r="V14" t="s">
        <v>112</v>
      </c>
      <c r="W14" s="17" t="s">
        <v>179</v>
      </c>
      <c r="X14" s="17" t="s">
        <v>179</v>
      </c>
      <c r="Y14" t="s">
        <v>103</v>
      </c>
      <c r="Z14" s="15" t="s">
        <v>151</v>
      </c>
    </row>
    <row r="15" spans="1:26" x14ac:dyDescent="0.25">
      <c r="A15" s="1">
        <v>43863</v>
      </c>
      <c r="C15" s="1">
        <v>43863</v>
      </c>
      <c r="D15" s="1">
        <v>43863</v>
      </c>
      <c r="E15">
        <v>22</v>
      </c>
      <c r="F15">
        <v>45</v>
      </c>
      <c r="G15" t="s">
        <v>89</v>
      </c>
      <c r="H15" t="s">
        <v>30</v>
      </c>
      <c r="I15" t="s">
        <v>18</v>
      </c>
      <c r="J15" t="s">
        <v>86</v>
      </c>
      <c r="K15" t="s">
        <v>2</v>
      </c>
      <c r="N15" s="17"/>
      <c r="V15" t="s">
        <v>113</v>
      </c>
      <c r="W15" s="17" t="s">
        <v>179</v>
      </c>
      <c r="X15" s="17" t="s">
        <v>179</v>
      </c>
      <c r="Y15" t="s">
        <v>103</v>
      </c>
      <c r="Z15" s="15" t="s">
        <v>144</v>
      </c>
    </row>
    <row r="16" spans="1:26" x14ac:dyDescent="0.25">
      <c r="A16" s="1">
        <v>43863</v>
      </c>
      <c r="C16" s="1">
        <v>43863</v>
      </c>
      <c r="D16" s="1">
        <v>43863</v>
      </c>
      <c r="E16">
        <v>22</v>
      </c>
      <c r="F16">
        <v>45</v>
      </c>
      <c r="G16" t="s">
        <v>89</v>
      </c>
      <c r="H16" t="s">
        <v>30</v>
      </c>
      <c r="I16" t="s">
        <v>18</v>
      </c>
      <c r="J16" t="s">
        <v>86</v>
      </c>
      <c r="K16" t="s">
        <v>2</v>
      </c>
      <c r="N16" s="17"/>
      <c r="V16" t="s">
        <v>113</v>
      </c>
      <c r="W16" s="17" t="s">
        <v>179</v>
      </c>
      <c r="X16" s="17" t="s">
        <v>179</v>
      </c>
      <c r="Y16" t="s">
        <v>103</v>
      </c>
      <c r="Z16" s="15" t="s">
        <v>144</v>
      </c>
    </row>
    <row r="17" spans="1:26" x14ac:dyDescent="0.25">
      <c r="A17" s="1">
        <v>44197</v>
      </c>
      <c r="C17" s="1">
        <v>44197</v>
      </c>
      <c r="D17" s="1">
        <v>44197</v>
      </c>
      <c r="E17">
        <v>1021</v>
      </c>
      <c r="F17">
        <v>120121</v>
      </c>
      <c r="G17" t="s">
        <v>152</v>
      </c>
      <c r="H17" t="s">
        <v>33</v>
      </c>
      <c r="I17" t="s">
        <v>18</v>
      </c>
      <c r="J17" t="s">
        <v>109</v>
      </c>
      <c r="K17" t="s">
        <v>117</v>
      </c>
      <c r="N17" s="17"/>
      <c r="V17" t="s">
        <v>112</v>
      </c>
      <c r="W17" s="17" t="s">
        <v>179</v>
      </c>
      <c r="X17" s="17" t="s">
        <v>179</v>
      </c>
      <c r="Y17" t="s">
        <v>103</v>
      </c>
      <c r="Z17" s="15" t="s">
        <v>144</v>
      </c>
    </row>
    <row r="18" spans="1:26" x14ac:dyDescent="0.25">
      <c r="A18" s="1">
        <v>44197</v>
      </c>
      <c r="C18" s="1">
        <v>44197</v>
      </c>
      <c r="D18" s="1">
        <v>44197</v>
      </c>
      <c r="F18">
        <v>10021</v>
      </c>
      <c r="G18" t="s">
        <v>124</v>
      </c>
      <c r="H18" t="s">
        <v>30</v>
      </c>
      <c r="I18" t="s">
        <v>18</v>
      </c>
      <c r="J18" t="s">
        <v>156</v>
      </c>
      <c r="K18" t="s">
        <v>91</v>
      </c>
      <c r="N18" s="17"/>
      <c r="V18" t="s">
        <v>115</v>
      </c>
      <c r="W18" s="17" t="s">
        <v>179</v>
      </c>
      <c r="X18" s="17" t="s">
        <v>179</v>
      </c>
      <c r="Y18" t="s">
        <v>103</v>
      </c>
      <c r="Z18" s="15" t="s">
        <v>92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F381-704A-44E3-8A76-D2E21AC5CAFD}">
  <sheetPr codeName="Planilha7"/>
  <dimension ref="A1:E5"/>
  <sheetViews>
    <sheetView workbookViewId="0">
      <selection activeCell="B5" sqref="B5"/>
    </sheetView>
  </sheetViews>
  <sheetFormatPr defaultRowHeight="15" x14ac:dyDescent="0.25"/>
  <cols>
    <col min="1" max="1" width="35.85546875" customWidth="1"/>
    <col min="2" max="2" width="31" customWidth="1"/>
    <col min="3" max="3" width="15.42578125" customWidth="1"/>
    <col min="4" max="4" width="15.85546875" customWidth="1"/>
    <col min="5" max="5" width="13" customWidth="1"/>
  </cols>
  <sheetData>
    <row r="1" spans="1:5" s="8" customFormat="1" ht="30" customHeight="1" x14ac:dyDescent="0.25">
      <c r="A1" s="7" t="s">
        <v>163</v>
      </c>
      <c r="B1" s="7" t="s">
        <v>164</v>
      </c>
      <c r="C1" s="7" t="s">
        <v>165</v>
      </c>
      <c r="D1" s="7" t="s">
        <v>166</v>
      </c>
      <c r="E1" s="7" t="s">
        <v>96</v>
      </c>
    </row>
    <row r="2" spans="1:5" x14ac:dyDescent="0.25">
      <c r="A2" t="s">
        <v>91</v>
      </c>
      <c r="B2" t="s">
        <v>2</v>
      </c>
      <c r="C2" t="s">
        <v>2</v>
      </c>
    </row>
    <row r="3" spans="1:5" x14ac:dyDescent="0.25">
      <c r="A3" t="s">
        <v>99</v>
      </c>
      <c r="B3" t="s">
        <v>100</v>
      </c>
      <c r="C3" t="s">
        <v>101</v>
      </c>
      <c r="D3">
        <v>1000125</v>
      </c>
      <c r="E3">
        <v>3627117980</v>
      </c>
    </row>
    <row r="4" spans="1:5" x14ac:dyDescent="0.25">
      <c r="A4" t="s">
        <v>116</v>
      </c>
      <c r="B4" t="s">
        <v>100</v>
      </c>
      <c r="C4" t="s">
        <v>101</v>
      </c>
      <c r="D4">
        <v>1000125</v>
      </c>
      <c r="E4">
        <v>3627117980</v>
      </c>
    </row>
    <row r="5" spans="1:5" x14ac:dyDescent="0.25">
      <c r="A5" t="s">
        <v>117</v>
      </c>
      <c r="B5" t="s">
        <v>100</v>
      </c>
      <c r="C5" t="s">
        <v>101</v>
      </c>
      <c r="D5">
        <v>1000125</v>
      </c>
      <c r="E5">
        <v>3627117980</v>
      </c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596795-EF80-4BFE-993A-C8838502E2C6}">
  <sheetPr codeName="Planilha1"/>
  <dimension ref="A1:F6"/>
  <sheetViews>
    <sheetView workbookViewId="0">
      <selection activeCell="D2" sqref="D2:F6"/>
    </sheetView>
  </sheetViews>
  <sheetFormatPr defaultRowHeight="15" x14ac:dyDescent="0.25"/>
  <cols>
    <col min="1" max="6" width="22" customWidth="1"/>
  </cols>
  <sheetData>
    <row r="1" spans="1:6" ht="30" customHeight="1" x14ac:dyDescent="0.25">
      <c r="A1" s="7" t="s">
        <v>0</v>
      </c>
      <c r="B1" s="7" t="s">
        <v>163</v>
      </c>
      <c r="C1" s="7" t="s">
        <v>167</v>
      </c>
      <c r="D1" s="7" t="s">
        <v>146</v>
      </c>
      <c r="E1" s="7" t="s">
        <v>168</v>
      </c>
      <c r="F1" s="7" t="s">
        <v>169</v>
      </c>
    </row>
    <row r="2" spans="1:6" x14ac:dyDescent="0.25">
      <c r="A2" t="s">
        <v>97</v>
      </c>
      <c r="B2" t="s">
        <v>113</v>
      </c>
      <c r="C2" t="s">
        <v>149</v>
      </c>
      <c r="D2" s="17">
        <v>2.1</v>
      </c>
      <c r="E2" s="17">
        <v>60</v>
      </c>
      <c r="F2" s="17">
        <v>150</v>
      </c>
    </row>
    <row r="3" spans="1:6" x14ac:dyDescent="0.25">
      <c r="A3" t="s">
        <v>135</v>
      </c>
      <c r="B3" t="s">
        <v>112</v>
      </c>
      <c r="C3" t="s">
        <v>138</v>
      </c>
      <c r="D3" s="17">
        <v>1.3</v>
      </c>
      <c r="E3" s="17">
        <v>50</v>
      </c>
      <c r="F3" s="17">
        <v>150</v>
      </c>
    </row>
    <row r="4" spans="1:6" x14ac:dyDescent="0.25">
      <c r="A4" t="s">
        <v>136</v>
      </c>
      <c r="B4" t="s">
        <v>110</v>
      </c>
      <c r="D4" s="17"/>
      <c r="E4" s="17"/>
      <c r="F4" s="17"/>
    </row>
    <row r="5" spans="1:6" x14ac:dyDescent="0.25">
      <c r="A5" t="s">
        <v>137</v>
      </c>
      <c r="B5" t="s">
        <v>115</v>
      </c>
      <c r="C5" t="s">
        <v>98</v>
      </c>
      <c r="D5" s="17"/>
      <c r="E5" s="17"/>
      <c r="F5" s="17"/>
    </row>
    <row r="6" spans="1:6" x14ac:dyDescent="0.25">
      <c r="A6" t="s">
        <v>97</v>
      </c>
      <c r="B6" t="s">
        <v>111</v>
      </c>
      <c r="C6" t="s">
        <v>148</v>
      </c>
      <c r="D6" s="17">
        <v>50</v>
      </c>
      <c r="E6" s="17">
        <v>25</v>
      </c>
      <c r="F6" s="17"/>
    </row>
  </sheetData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6E30C3-871B-48B6-8049-A5622F3C9F82}">
  <sheetPr codeName="Planilha4"/>
  <dimension ref="A1:A15"/>
  <sheetViews>
    <sheetView workbookViewId="0">
      <selection activeCell="D23" sqref="D23"/>
    </sheetView>
  </sheetViews>
  <sheetFormatPr defaultRowHeight="15" x14ac:dyDescent="0.25"/>
  <cols>
    <col min="1" max="1" width="19.140625" bestFit="1" customWidth="1"/>
  </cols>
  <sheetData>
    <row r="1" spans="1:1" x14ac:dyDescent="0.25">
      <c r="A1" t="s">
        <v>30</v>
      </c>
    </row>
    <row r="2" spans="1:1" x14ac:dyDescent="0.25">
      <c r="A2" t="s">
        <v>31</v>
      </c>
    </row>
    <row r="3" spans="1:1" x14ac:dyDescent="0.25">
      <c r="A3" t="s">
        <v>32</v>
      </c>
    </row>
    <row r="4" spans="1:1" x14ac:dyDescent="0.25">
      <c r="A4" t="s">
        <v>33</v>
      </c>
    </row>
    <row r="5" spans="1:1" x14ac:dyDescent="0.25">
      <c r="A5" t="s">
        <v>34</v>
      </c>
    </row>
    <row r="6" spans="1:1" x14ac:dyDescent="0.25">
      <c r="A6" t="s">
        <v>35</v>
      </c>
    </row>
    <row r="7" spans="1:1" x14ac:dyDescent="0.25">
      <c r="A7" t="s">
        <v>36</v>
      </c>
    </row>
    <row r="8" spans="1:1" x14ac:dyDescent="0.25">
      <c r="A8" t="s">
        <v>37</v>
      </c>
    </row>
    <row r="9" spans="1:1" x14ac:dyDescent="0.25">
      <c r="A9" t="s">
        <v>38</v>
      </c>
    </row>
    <row r="10" spans="1:1" x14ac:dyDescent="0.25">
      <c r="A10" t="s">
        <v>39</v>
      </c>
    </row>
    <row r="11" spans="1:1" x14ac:dyDescent="0.25">
      <c r="A11" t="s">
        <v>40</v>
      </c>
    </row>
    <row r="12" spans="1:1" x14ac:dyDescent="0.25">
      <c r="A12" t="s">
        <v>41</v>
      </c>
    </row>
    <row r="13" spans="1:1" x14ac:dyDescent="0.25">
      <c r="A13" t="s">
        <v>42</v>
      </c>
    </row>
    <row r="14" spans="1:1" x14ac:dyDescent="0.25">
      <c r="A14" t="s">
        <v>43</v>
      </c>
    </row>
    <row r="15" spans="1:1" x14ac:dyDescent="0.25">
      <c r="A15" t="s">
        <v>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3456D-521E-492B-A5F1-C37BBBBFE734}">
  <sheetPr codeName="Planilha11"/>
  <dimension ref="A1:A2"/>
  <sheetViews>
    <sheetView workbookViewId="0">
      <selection activeCell="G13" sqref="G13"/>
    </sheetView>
  </sheetViews>
  <sheetFormatPr defaultRowHeight="15" x14ac:dyDescent="0.25"/>
  <sheetData>
    <row r="1" spans="1:1" x14ac:dyDescent="0.25">
      <c r="A1" t="s">
        <v>153</v>
      </c>
    </row>
    <row r="2" spans="1:1" x14ac:dyDescent="0.25">
      <c r="A2" t="s">
        <v>154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FCD9B-E781-4532-8BE9-0B5D05F465CA}">
  <sheetPr codeName="Planilha9"/>
  <dimension ref="A1:A3"/>
  <sheetViews>
    <sheetView workbookViewId="0">
      <selection activeCell="D23" sqref="D23"/>
    </sheetView>
  </sheetViews>
  <sheetFormatPr defaultRowHeight="15" x14ac:dyDescent="0.25"/>
  <sheetData>
    <row r="1" spans="1:1" x14ac:dyDescent="0.25">
      <c r="A1" t="s">
        <v>120</v>
      </c>
    </row>
    <row r="2" spans="1:1" x14ac:dyDescent="0.25">
      <c r="A2" t="s">
        <v>121</v>
      </c>
    </row>
    <row r="3" spans="1:1" x14ac:dyDescent="0.25">
      <c r="A3" t="s">
        <v>122</v>
      </c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34D918-1642-4193-AEE0-097308E29E52}">
  <sheetPr codeName="Planilha8"/>
  <dimension ref="A1:A4"/>
  <sheetViews>
    <sheetView workbookViewId="0">
      <selection activeCell="G8" sqref="G8"/>
    </sheetView>
  </sheetViews>
  <sheetFormatPr defaultRowHeight="15" x14ac:dyDescent="0.25"/>
  <cols>
    <col min="1" max="1" width="15" customWidth="1"/>
  </cols>
  <sheetData>
    <row r="1" spans="1:1" x14ac:dyDescent="0.25">
      <c r="A1" t="s">
        <v>102</v>
      </c>
    </row>
    <row r="2" spans="1:1" x14ac:dyDescent="0.25">
      <c r="A2" t="s">
        <v>103</v>
      </c>
    </row>
    <row r="3" spans="1:1" x14ac:dyDescent="0.25">
      <c r="A3" t="s">
        <v>104</v>
      </c>
    </row>
    <row r="4" spans="1:1" x14ac:dyDescent="0.25">
      <c r="A4" t="s">
        <v>105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BAB43-BCD4-44CA-9201-7FEB3AF6BD41}">
  <sheetPr codeName="Planilha10"/>
  <dimension ref="A1:A7"/>
  <sheetViews>
    <sheetView workbookViewId="0">
      <selection activeCell="A7" sqref="A7"/>
    </sheetView>
  </sheetViews>
  <sheetFormatPr defaultRowHeight="15" x14ac:dyDescent="0.25"/>
  <cols>
    <col min="1" max="1" width="12.140625" customWidth="1"/>
  </cols>
  <sheetData>
    <row r="1" spans="1:1" x14ac:dyDescent="0.25">
      <c r="A1" t="s">
        <v>118</v>
      </c>
    </row>
    <row r="2" spans="1:1" x14ac:dyDescent="0.25">
      <c r="A2" t="s">
        <v>147</v>
      </c>
    </row>
    <row r="3" spans="1:1" x14ac:dyDescent="0.25">
      <c r="A3" t="s">
        <v>119</v>
      </c>
    </row>
    <row r="4" spans="1:1" x14ac:dyDescent="0.25">
      <c r="A4" t="s">
        <v>121</v>
      </c>
    </row>
    <row r="5" spans="1:1" x14ac:dyDescent="0.25">
      <c r="A5" t="s">
        <v>122</v>
      </c>
    </row>
    <row r="6" spans="1:1" x14ac:dyDescent="0.25">
      <c r="A6" t="s">
        <v>130</v>
      </c>
    </row>
    <row r="7" spans="1:1" x14ac:dyDescent="0.25">
      <c r="A7" t="s">
        <v>131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1F616-0D7A-4D25-9DEB-80CD2395FEC0}">
  <sheetPr codeName="Planilha3"/>
  <dimension ref="A1:A27"/>
  <sheetViews>
    <sheetView topLeftCell="A19" workbookViewId="0">
      <selection activeCell="D23" sqref="D23"/>
    </sheetView>
  </sheetViews>
  <sheetFormatPr defaultRowHeight="15" x14ac:dyDescent="0.25"/>
  <sheetData>
    <row r="1" spans="1:1" x14ac:dyDescent="0.25">
      <c r="A1" t="s">
        <v>18</v>
      </c>
    </row>
    <row r="2" spans="1:1" x14ac:dyDescent="0.25">
      <c r="A2" t="s">
        <v>3</v>
      </c>
    </row>
    <row r="3" spans="1:1" x14ac:dyDescent="0.25">
      <c r="A3" t="s">
        <v>4</v>
      </c>
    </row>
    <row r="4" spans="1:1" x14ac:dyDescent="0.25">
      <c r="A4" t="s">
        <v>5</v>
      </c>
    </row>
    <row r="5" spans="1:1" x14ac:dyDescent="0.25">
      <c r="A5" t="s">
        <v>6</v>
      </c>
    </row>
    <row r="6" spans="1:1" x14ac:dyDescent="0.25">
      <c r="A6" t="s">
        <v>7</v>
      </c>
    </row>
    <row r="7" spans="1:1" x14ac:dyDescent="0.25">
      <c r="A7" t="s">
        <v>8</v>
      </c>
    </row>
    <row r="8" spans="1:1" x14ac:dyDescent="0.25">
      <c r="A8" t="s">
        <v>9</v>
      </c>
    </row>
    <row r="9" spans="1:1" x14ac:dyDescent="0.25">
      <c r="A9" t="s">
        <v>10</v>
      </c>
    </row>
    <row r="10" spans="1:1" x14ac:dyDescent="0.25">
      <c r="A10" t="s">
        <v>11</v>
      </c>
    </row>
    <row r="11" spans="1:1" x14ac:dyDescent="0.25">
      <c r="A11" t="s">
        <v>12</v>
      </c>
    </row>
    <row r="12" spans="1:1" x14ac:dyDescent="0.25">
      <c r="A12" t="s">
        <v>13</v>
      </c>
    </row>
    <row r="13" spans="1:1" x14ac:dyDescent="0.25">
      <c r="A13" t="s">
        <v>14</v>
      </c>
    </row>
    <row r="14" spans="1:1" x14ac:dyDescent="0.25">
      <c r="A14" t="s">
        <v>15</v>
      </c>
    </row>
    <row r="15" spans="1:1" x14ac:dyDescent="0.25">
      <c r="A15" t="s">
        <v>16</v>
      </c>
    </row>
    <row r="16" spans="1:1" x14ac:dyDescent="0.25">
      <c r="A16" t="s">
        <v>17</v>
      </c>
    </row>
    <row r="17" spans="1:1" x14ac:dyDescent="0.25">
      <c r="A17" t="s">
        <v>19</v>
      </c>
    </row>
    <row r="18" spans="1:1" x14ac:dyDescent="0.25">
      <c r="A18" t="s">
        <v>20</v>
      </c>
    </row>
    <row r="19" spans="1:1" x14ac:dyDescent="0.25">
      <c r="A19" t="s">
        <v>21</v>
      </c>
    </row>
    <row r="20" spans="1:1" x14ac:dyDescent="0.25">
      <c r="A20" t="s">
        <v>22</v>
      </c>
    </row>
    <row r="21" spans="1:1" x14ac:dyDescent="0.25">
      <c r="A21" t="s">
        <v>23</v>
      </c>
    </row>
    <row r="22" spans="1:1" x14ac:dyDescent="0.25">
      <c r="A22" t="s">
        <v>24</v>
      </c>
    </row>
    <row r="23" spans="1:1" x14ac:dyDescent="0.25">
      <c r="A23" t="s">
        <v>25</v>
      </c>
    </row>
    <row r="24" spans="1:1" x14ac:dyDescent="0.25">
      <c r="A24" t="s">
        <v>26</v>
      </c>
    </row>
    <row r="25" spans="1:1" x14ac:dyDescent="0.25">
      <c r="A25" t="s">
        <v>27</v>
      </c>
    </row>
    <row r="26" spans="1:1" x14ac:dyDescent="0.25">
      <c r="A26" t="s">
        <v>28</v>
      </c>
    </row>
    <row r="27" spans="1:1" x14ac:dyDescent="0.25">
      <c r="A27" t="s">
        <v>29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12</vt:i4>
      </vt:variant>
    </vt:vector>
  </HeadingPairs>
  <TitlesOfParts>
    <vt:vector size="25" baseType="lpstr">
      <vt:lpstr>Inicial</vt:lpstr>
      <vt:lpstr>CadPericia</vt:lpstr>
      <vt:lpstr>RelPericiaPerito</vt:lpstr>
      <vt:lpstr>RelPenhoPerito</vt:lpstr>
      <vt:lpstr>CadPenhor</vt:lpstr>
      <vt:lpstr>CadPerito</vt:lpstr>
      <vt:lpstr>CadSeguradora</vt:lpstr>
      <vt:lpstr>Cidades</vt:lpstr>
      <vt:lpstr>Cultura</vt:lpstr>
      <vt:lpstr>Sinistro</vt:lpstr>
      <vt:lpstr>TipoBenSeg</vt:lpstr>
      <vt:lpstr>TipoVistoria</vt:lpstr>
      <vt:lpstr>Estados</vt:lpstr>
      <vt:lpstr>RelPenhoPerito!Area_de_extracao</vt:lpstr>
      <vt:lpstr>cidades</vt:lpstr>
      <vt:lpstr>RelPenhoPerito!Criterios</vt:lpstr>
      <vt:lpstr>Cultura</vt:lpstr>
      <vt:lpstr>Perito</vt:lpstr>
      <vt:lpstr>SeguradoPenhor</vt:lpstr>
      <vt:lpstr>SeguradoPericia</vt:lpstr>
      <vt:lpstr>Seguradora</vt:lpstr>
      <vt:lpstr>TipoBen</vt:lpstr>
      <vt:lpstr>TipoServicos</vt:lpstr>
      <vt:lpstr>TipoVistoria</vt:lpstr>
      <vt:lpstr>uf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Vinicius</dc:creator>
  <cp:lastModifiedBy>Vinicius</cp:lastModifiedBy>
  <cp:lastPrinted>2021-02-06T05:47:56Z</cp:lastPrinted>
  <dcterms:created xsi:type="dcterms:W3CDTF">2021-01-16T20:15:46Z</dcterms:created>
  <dcterms:modified xsi:type="dcterms:W3CDTF">2021-02-06T05:50:07Z</dcterms:modified>
</cp:coreProperties>
</file>