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737D1A5B-03F6-45D9-8992-A1E7BA3DBDD3}" xr6:coauthVersionLast="46" xr6:coauthVersionMax="46" xr10:uidLastSave="{00000000-0000-0000-0000-000000000000}"/>
  <bookViews>
    <workbookView xWindow="-120" yWindow="-120" windowWidth="20730" windowHeight="11160" activeTab="4" xr2:uid="{E0D4B125-8ABE-41E3-AD67-A9BA722874B8}"/>
  </bookViews>
  <sheets>
    <sheet name="Inicial" sheetId="2" r:id="rId1"/>
    <sheet name="Vistoria" sheetId="25" r:id="rId2"/>
    <sheet name="CadPenhor" sheetId="5" r:id="rId3"/>
    <sheet name="CadPericia" sheetId="6" r:id="rId4"/>
    <sheet name="DashResultado" sheetId="26" r:id="rId5"/>
    <sheet name="RelContasApagar" sheetId="18" r:id="rId6"/>
    <sheet name="ContasApagar" sheetId="16" r:id="rId7"/>
    <sheet name="RelContasAReceber" sheetId="20" r:id="rId8"/>
    <sheet name="ContasAreceber" sheetId="17" r:id="rId9"/>
    <sheet name="TbDinamicaReceber" sheetId="23" r:id="rId10"/>
    <sheet name="DashboardAReceber" sheetId="22" r:id="rId11"/>
    <sheet name="TbDinamicaApagar" sheetId="24" r:id="rId12"/>
    <sheet name="DashboardApagar" sheetId="21" r:id="rId13"/>
    <sheet name="CadSeguradora" sheetId="1" r:id="rId14"/>
    <sheet name="CadPerito" sheetId="7" r:id="rId15"/>
    <sheet name="Cidades" sheetId="4" r:id="rId16"/>
    <sheet name="Cultura" sheetId="11" r:id="rId17"/>
    <sheet name="Sinistro" sheetId="10" r:id="rId18"/>
    <sheet name="TipoBenSeg" sheetId="8" r:id="rId19"/>
    <sheet name="TipoVistoria" sheetId="9" r:id="rId20"/>
    <sheet name="Estados" sheetId="3" r:id="rId21"/>
  </sheets>
  <definedNames>
    <definedName name="_xlnm._FilterDatabase" localSheetId="2" hidden="1">CadPenhor!$A$1:$AJ$3</definedName>
    <definedName name="_xlnm._FilterDatabase" localSheetId="3" hidden="1">CadPericia!$A$1:$AE$6</definedName>
    <definedName name="_xlnm._FilterDatabase" localSheetId="6" hidden="1">ContasApagar!$A$1:$R$5</definedName>
    <definedName name="_xlnm._FilterDatabase" localSheetId="8" hidden="1">ContasAreceber!$A$1:$U$7</definedName>
    <definedName name="_xlnm._FilterDatabase" localSheetId="5" hidden="1">RelContasApagar!$A$7:$R$7</definedName>
    <definedName name="_xlnm._FilterDatabase" localSheetId="7" hidden="1">RelContasAReceber!$A$7:$R$7</definedName>
    <definedName name="_xlnm.Extract" localSheetId="3">CadPericia!#REF!</definedName>
    <definedName name="_xlnm.Extract" localSheetId="0">Inicial!#REF!</definedName>
    <definedName name="_xlnm.Extract" localSheetId="5">RelContasApagar!$A$7:$R$7</definedName>
    <definedName name="_xlnm.Extract" localSheetId="7">RelContasAReceber!$A$7:$R$7</definedName>
    <definedName name="cidades">Cidades!$A:$A</definedName>
    <definedName name="_xlnm.Criteria" localSheetId="3">CadPericia!#REF!</definedName>
    <definedName name="_xlnm.Criteria" localSheetId="0">Inicial!$J$2:$N$3</definedName>
    <definedName name="_xlnm.Criteria" localSheetId="5">RelContasApagar!$T$2:$Y$3</definedName>
    <definedName name="_xlnm.Criteria" localSheetId="7">RelContasAReceber!$T$2:$Y$3</definedName>
    <definedName name="_xlnm.Criteria" localSheetId="1">Vistoria!$F$2:$L$3</definedName>
    <definedName name="Cultura">Cultura!$A:$A</definedName>
    <definedName name="NativeTimeline_DT_LANCAMENTO">#N/A</definedName>
    <definedName name="NativeTimeline_DT_LANCAMENTO1">#N/A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68" r:id="rId22"/>
    <pivotCache cacheId="157" r:id="rId23"/>
    <pivotCache cacheId="166" r:id="rId24"/>
    <pivotCache cacheId="188" r:id="rId25"/>
  </pivotCaches>
  <extLst>
    <ext xmlns:x14="http://schemas.microsoft.com/office/spreadsheetml/2009/9/main" uri="{876F7934-8845-4945-9796-88D515C7AA90}">
      <x14:pivotCaches>
        <pivotCache cacheId="3" r:id="rId26"/>
      </x14:pivotCaches>
    </ex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  <x15:timelineCacheRef r:id="rId4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" i="23" l="1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D4" i="26"/>
  <c r="E4" i="26" s="1"/>
  <c r="C4" i="26"/>
  <c r="C3" i="26"/>
  <c r="C5" i="26" s="1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AA3" i="24"/>
  <c r="Z3" i="24"/>
  <c r="AB3" i="24"/>
  <c r="AC3" i="24"/>
  <c r="AD3" i="24"/>
  <c r="AE3" i="24"/>
  <c r="AF3" i="24"/>
  <c r="AG3" i="24"/>
  <c r="Y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T3" i="18"/>
  <c r="Y3" i="20" l="1"/>
  <c r="X3" i="20"/>
  <c r="W3" i="20"/>
  <c r="W3" i="18"/>
  <c r="V3" i="18"/>
  <c r="Y3" i="18"/>
  <c r="X3" i="18"/>
</calcChain>
</file>

<file path=xl/sharedStrings.xml><?xml version="1.0" encoding="utf-8"?>
<sst xmlns="http://schemas.openxmlformats.org/spreadsheetml/2006/main" count="834" uniqueCount="335">
  <si>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</si>
  <si>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</si>
  <si>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</si>
  <si>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</si>
  <si>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</si>
  <si>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</si>
  <si>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</si>
  <si>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</si>
  <si>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</si>
  <si>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</si>
  <si>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</si>
  <si>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</si>
  <si>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</si>
  <si>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</si>
  <si>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</si>
  <si>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</si>
  <si>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</si>
  <si>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</si>
  <si>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</si>
  <si>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</si>
  <si>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</si>
  <si>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</si>
  <si>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</si>
  <si>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</si>
  <si>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</si>
  <si>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</si>
  <si>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</si>
  <si>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</si>
  <si>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</si>
  <si>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</si>
  <si>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</si>
  <si>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</si>
  <si>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</si>
  <si>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</si>
  <si>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</si>
  <si>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</si>
  <si>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</si>
  <si>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</si>
  <si>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</si>
  <si>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</si>
  <si>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</si>
  <si>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</si>
  <si>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</si>
  <si>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</si>
  <si>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</si>
  <si>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</si>
  <si>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</si>
  <si>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</si>
  <si>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</si>
  <si>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</si>
  <si>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</si>
  <si>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</si>
  <si>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</si>
  <si>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</si>
  <si>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</si>
  <si>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</si>
  <si>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</si>
  <si>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</si>
  <si>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</si>
  <si>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</si>
  <si>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</si>
  <si>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</si>
  <si>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</si>
  <si>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</si>
  <si>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</si>
  <si>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</si>
  <si>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</si>
  <si>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</si>
  <si>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</si>
  <si>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</si>
  <si>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</si>
  <si>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</si>
  <si>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</si>
  <si>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</si>
  <si>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</si>
  <si>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</si>
  <si>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</si>
  <si>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</si>
  <si>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</si>
  <si>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</si>
  <si>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</si>
  <si>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</si>
  <si>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</si>
  <si>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</si>
  <si>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</si>
  <si>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</si>
  <si>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</si>
  <si>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</si>
  <si>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</si>
  <si>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</si>
  <si>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</si>
  <si>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</si>
  <si>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</si>
  <si>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</si>
  <si>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</si>
  <si>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</si>
  <si>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</si>
  <si>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</si>
  <si>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</si>
  <si>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</si>
  <si>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</si>
  <si>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</si>
  <si>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</si>
  <si>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</si>
  <si>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</si>
  <si>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</si>
  <si>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</si>
  <si>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</si>
  <si>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</si>
  <si>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</si>
  <si>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</si>
  <si>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</si>
  <si>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</si>
  <si>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</si>
  <si>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</si>
  <si>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</si>
  <si>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</si>
  <si>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</si>
  <si>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</si>
  <si>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</si>
  <si>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</si>
  <si>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</si>
  <si>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</si>
  <si>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</si>
  <si>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</si>
  <si>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KM R$ EMPR2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</si>
  <si>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</si>
  <si>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</si>
  <si>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</si>
  <si>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</si>
  <si>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</si>
  <si>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</si>
  <si>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</si>
  <si>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</si>
  <si>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</si>
  <si>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</si>
  <si>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</si>
  <si>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</si>
  <si>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</si>
  <si>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</si>
  <si>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</si>
  <si>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</si>
  <si>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</si>
  <si>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</si>
  <si>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</si>
  <si>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</si>
  <si>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</si>
  <si>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</si>
  <si>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</si>
  <si>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</si>
  <si>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</si>
  <si>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</si>
  <si>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</si>
  <si>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</si>
  <si>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</si>
  <si>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</si>
  <si>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</si>
  <si>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</si>
  <si>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</si>
  <si>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</si>
  <si>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</si>
  <si>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</si>
  <si>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</si>
  <si>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</si>
  <si>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</si>
  <si>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</si>
  <si>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</si>
  <si>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</si>
  <si>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</si>
  <si>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</si>
  <si>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</si>
  <si>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</si>
  <si>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</si>
  <si>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</si>
  <si>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</si>
  <si>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</si>
  <si>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</si>
  <si>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</si>
  <si>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</si>
  <si>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</si>
  <si>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</si>
  <si>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</si>
  <si>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</si>
  <si>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</si>
  <si>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</si>
  <si>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</si>
  <si>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</si>
  <si>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</si>
  <si>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</si>
  <si>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</si>
  <si>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</si>
  <si>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</si>
  <si>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</si>
  <si>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</si>
  <si>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</si>
  <si>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</si>
  <si>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</si>
  <si>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</si>
  <si>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</si>
  <si>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</si>
  <si>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</si>
  <si>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</si>
  <si>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</si>
  <si>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</si>
  <si>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</si>
  <si>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</si>
  <si>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</si>
  <si>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</si>
  <si>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</si>
  <si>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</si>
  <si>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</si>
  <si>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</si>
  <si>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</si>
  <si>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</si>
  <si>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</si>
  <si>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</si>
  <si>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</si>
  <si>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</si>
  <si>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</si>
  <si>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</si>
  <si>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</si>
  <si>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</si>
  <si>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</si>
  <si>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</si>
  <si>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</si>
  <si>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</si>
  <si>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</si>
  <si>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</si>
  <si>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</si>
  <si>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</si>
  <si>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</si>
  <si>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</si>
  <si>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</si>
  <si>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</si>
  <si>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</si>
  <si>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</si>
  <si>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</si>
  <si>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</si>
  <si>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</si>
  <si>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</si>
  <si>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</si>
  <si>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</si>
  <si>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</si>
  <si>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</si>
  <si>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</si>
  <si>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</si>
  <si>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</si>
  <si>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</si>
  <si>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</si>
  <si>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</si>
  <si>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</si>
  <si>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</si>
  <si>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</si>
  <si>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</si>
  <si>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</si>
  <si>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</si>
  <si>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</si>
  <si>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</si>
  <si>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</si>
  <si>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</si>
  <si>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</si>
  <si>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</si>
  <si>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</si>
  <si>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</si>
  <si>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</si>
  <si>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</si>
  <si>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</si>
  <si>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</si>
  <si>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</si>
  <si>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</si>
  <si>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</si>
  <si>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</si>
  <si>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</si>
  <si>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</si>
  <si>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</si>
  <si>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</si>
  <si>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20/02/2021</t>
  </si>
  <si>
    <t>10,00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</si>
  <si>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</si>
  <si>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</si>
  <si>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</si>
  <si>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</si>
  <si>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</si>
  <si>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</si>
  <si>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</si>
  <si>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</si>
  <si>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</si>
  <si>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</si>
  <si>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</si>
  <si>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</si>
  <si>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</si>
  <si>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</si>
  <si>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</si>
  <si>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</si>
  <si>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>28/02/2021</t>
  </si>
  <si>
    <t>teste</t>
  </si>
  <si>
    <t xml:space="preserve">AGROBRASIL - (SP)                    </t>
  </si>
  <si>
    <t>Roubo</t>
  </si>
  <si>
    <t>Incendio</t>
  </si>
  <si>
    <t>Pedro</t>
  </si>
  <si>
    <t>Maria</t>
  </si>
  <si>
    <t>18/02/2021</t>
  </si>
  <si>
    <t>Felipe</t>
  </si>
  <si>
    <t>17/02/2021</t>
  </si>
  <si>
    <t>Cleiton</t>
  </si>
  <si>
    <t>19/02/2021</t>
  </si>
  <si>
    <t>21/02/2021</t>
  </si>
  <si>
    <t>Liquidado</t>
  </si>
  <si>
    <t xml:space="preserve"> </t>
  </si>
  <si>
    <t>SALDO</t>
  </si>
  <si>
    <t>Obs</t>
  </si>
  <si>
    <t>Mario</t>
  </si>
  <si>
    <t>Marta</t>
  </si>
  <si>
    <t>rtw</t>
  </si>
  <si>
    <t>Flavio</t>
  </si>
  <si>
    <t>17/02/2022</t>
  </si>
  <si>
    <t>28/fev</t>
  </si>
  <si>
    <t>04/mar</t>
  </si>
  <si>
    <t>Total</t>
  </si>
  <si>
    <t>Saldo</t>
  </si>
  <si>
    <t>Seguradora</t>
  </si>
  <si>
    <t>Tabela Total de recebimentos</t>
  </si>
  <si>
    <t>Parcial</t>
  </si>
  <si>
    <t>ui</t>
  </si>
  <si>
    <t>Peritos</t>
  </si>
  <si>
    <t>Total por Peritos</t>
  </si>
  <si>
    <t>até</t>
  </si>
  <si>
    <t>Tipo:</t>
  </si>
  <si>
    <t>Período:</t>
  </si>
  <si>
    <t>Tabela Total de pagamentos</t>
  </si>
  <si>
    <t>02/mar</t>
  </si>
  <si>
    <t>Perito</t>
  </si>
  <si>
    <t>Valor a Receber</t>
  </si>
  <si>
    <t>Valor a Pagar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</si>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</sst>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74">
    <xf numFmtId="0" fontId="0" fillId="0" borderId="0" xfId="0"/>
    <xf numFmtId="14" fontId="0" fillId="0" borderId="0" xfId="0" applyNumberFormat="1"/>
    <xf numFmtId="0" fontId="2" fillId="0" borderId="0" xfId="0" applyFont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0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0" fontId="0" fillId="4" borderId="4" xfId="0" applyFont="1" applyFill="1" applyBorder="1"/>
    <xf numFmtId="14" fontId="0" fillId="0" borderId="0" xfId="0" applyNumberFormat="1" applyBorder="1" applyAlignment="1">
      <alignment horizontal="right"/>
    </xf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7" fillId="0" borderId="0" xfId="0" applyFont="1" applyAlignment="1">
      <alignment horizontal="center"/>
    </xf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/>
    <xf numFmtId="44" fontId="3" fillId="5" borderId="0" xfId="4" applyNumberFormat="1"/>
    <xf numFmtId="44" fontId="7" fillId="5" borderId="0" xfId="4" applyNumberFormat="1" applyFont="1"/>
    <xf numFmtId="0" fontId="7" fillId="5" borderId="0" xfId="4" applyFont="1" applyAlignment="1">
      <alignment horizontal="center"/>
    </xf>
    <xf numFmtId="0" fontId="3" fillId="5" borderId="0" xfId="4" applyAlignment="1">
      <alignment horizontal="left"/>
    </xf>
    <xf numFmtId="9" fontId="6" fillId="0" borderId="0" xfId="3" applyFont="1"/>
    <xf numFmtId="9" fontId="6" fillId="0" borderId="0" xfId="0" applyNumberFormat="1" applyFont="1"/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79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1" formatCode="&quot;R$&quot;#,##0.00;\-&quot;R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8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microsoft.com/office/2007/relationships/slicerCache" Target="slicerCaches/slicerCache7.xml"/><Relationship Id="rId38" Type="http://schemas.microsoft.com/office/2007/relationships/slicerCache" Target="slicerCaches/slicerCache12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3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7/relationships/slicerCache" Target="slicerCaches/slicerCache6.xml"/><Relationship Id="rId37" Type="http://schemas.microsoft.com/office/2007/relationships/slicerCache" Target="slicerCaches/slicerCache11.xml"/><Relationship Id="rId40" Type="http://schemas.microsoft.com/office/2011/relationships/timelineCache" Target="timelineCaches/timelineCache2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2.xml"/><Relationship Id="rId36" Type="http://schemas.microsoft.com/office/2007/relationships/slicerCache" Target="slicerCaches/slicerCache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5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 e despesas com pericias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DashResultado!$A$4</c:f>
              <c:strCache>
                <c:ptCount val="1"/>
                <c:pt idx="0">
                  <c:v>Valor a Pagar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0.36785714285714288</c:v>
                </c:pt>
                <c:pt idx="1">
                  <c:v>0.63214285714285712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BB-4E99-8BDA-56564F9F5728}"/>
              </c:ext>
            </c:extLst>
          </c:dPt>
          <c:dPt>
            <c:idx val="1"/>
            <c:bubble3D val="0"/>
            <c:spPr>
              <a:solidFill>
                <a:srgbClr val="339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2BB-4E99-8BDA-56564F9F5728}"/>
              </c:ext>
            </c:extLst>
          </c:dPt>
          <c:dLbls>
            <c:delete val="1"/>
          </c:dLbls>
          <c: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por seguradora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244</c:v>
                </c:pt>
                <c:pt idx="2">
                  <c:v>942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seguradora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244</c:v>
                </c:pt>
                <c:pt idx="2">
                  <c:v>692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68</c:v>
                </c:pt>
                <c:pt idx="1">
                  <c:v>13.333333333333339</c:v>
                </c:pt>
                <c:pt idx="2">
                  <c:v>83.3333333333333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13.333333333333339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232</c:v>
                </c:pt>
                <c:pt idx="1">
                  <c:v>0</c:v>
                </c:pt>
                <c:pt idx="2">
                  <c:v>172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152401</xdr:colOff>
      <xdr:row>3</xdr:row>
      <xdr:rowOff>152400</xdr:rowOff>
    </xdr:from>
    <xdr:to>
      <xdr:col>20</xdr:col>
      <xdr:colOff>476250</xdr:colOff>
      <xdr:row>21</xdr:row>
      <xdr:rowOff>114300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52401" y="723900"/>
          <a:ext cx="12515849" cy="33909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590550</xdr:colOff>
      <xdr:row>4</xdr:row>
      <xdr:rowOff>103188</xdr:rowOff>
    </xdr:from>
    <xdr:to>
      <xdr:col>5</xdr:col>
      <xdr:colOff>200025</xdr:colOff>
      <xdr:row>21</xdr:row>
      <xdr:rowOff>61319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CD2A8DF9-B7FD-4CDE-829F-8E739C5D391E}"/>
            </a:ext>
          </a:extLst>
        </xdr:cNvPr>
        <xdr:cNvGrpSpPr/>
      </xdr:nvGrpSpPr>
      <xdr:grpSpPr>
        <a:xfrm>
          <a:off x="590550" y="865188"/>
          <a:ext cx="2657475" cy="3196631"/>
          <a:chOff x="971550" y="847725"/>
          <a:chExt cx="2657475" cy="3448051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971550" y="847725"/>
            <a:ext cx="2657475" cy="344805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981074" y="1390650"/>
            <a:ext cx="2574000" cy="647700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971550" y="2781300"/>
            <a:ext cx="2612099" cy="647700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971551" y="2085975"/>
            <a:ext cx="2612100" cy="666750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1009649" y="3476625"/>
            <a:ext cx="2574000" cy="647700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114300</xdr:colOff>
      <xdr:row>4</xdr:row>
      <xdr:rowOff>112018</xdr:rowOff>
    </xdr:from>
    <xdr:to>
      <xdr:col>14</xdr:col>
      <xdr:colOff>333375</xdr:colOff>
      <xdr:row>21</xdr:row>
      <xdr:rowOff>70149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DB97FA5-742E-4389-B941-70D7A8A4BD28}"/>
            </a:ext>
          </a:extLst>
        </xdr:cNvPr>
        <xdr:cNvGrpSpPr/>
      </xdr:nvGrpSpPr>
      <xdr:grpSpPr>
        <a:xfrm>
          <a:off x="6210300" y="874018"/>
          <a:ext cx="2657475" cy="3196631"/>
          <a:chOff x="6400800" y="866775"/>
          <a:chExt cx="2657475" cy="3448051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400800" y="866775"/>
            <a:ext cx="2657475" cy="344805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429375" y="1400175"/>
            <a:ext cx="2543175" cy="647700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448425" y="2095500"/>
            <a:ext cx="2533650" cy="647700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14</xdr:col>
      <xdr:colOff>409575</xdr:colOff>
      <xdr:row>4</xdr:row>
      <xdr:rowOff>105271</xdr:rowOff>
    </xdr:from>
    <xdr:to>
      <xdr:col>19</xdr:col>
      <xdr:colOff>190500</xdr:colOff>
      <xdr:row>21</xdr:row>
      <xdr:rowOff>63402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8943975" y="867271"/>
          <a:ext cx="2828925" cy="319663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14</xdr:col>
      <xdr:colOff>442417</xdr:colOff>
      <xdr:row>10</xdr:row>
      <xdr:rowOff>66080</xdr:rowOff>
    </xdr:from>
    <xdr:to>
      <xdr:col>19</xdr:col>
      <xdr:colOff>155097</xdr:colOff>
      <xdr:row>14</xdr:row>
      <xdr:rowOff>19349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8976817" y="1971080"/>
          <a:ext cx="2760680" cy="715269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432892</xdr:colOff>
      <xdr:row>7</xdr:row>
      <xdr:rowOff>19446</xdr:rowOff>
    </xdr:from>
    <xdr:to>
      <xdr:col>19</xdr:col>
      <xdr:colOff>145572</xdr:colOff>
      <xdr:row>10</xdr:row>
      <xdr:rowOff>110231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8967292" y="1352946"/>
          <a:ext cx="2760680" cy="662285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161924</xdr:colOff>
      <xdr:row>13</xdr:row>
      <xdr:rowOff>175221</xdr:rowOff>
    </xdr:from>
    <xdr:to>
      <xdr:col>14</xdr:col>
      <xdr:colOff>257175</xdr:colOff>
      <xdr:row>17</xdr:row>
      <xdr:rowOff>13693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6257924" y="2651721"/>
          <a:ext cx="2533651" cy="600472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126522</xdr:colOff>
      <xdr:row>13</xdr:row>
      <xdr:rowOff>120849</xdr:rowOff>
    </xdr:from>
    <xdr:to>
      <xdr:col>11</xdr:col>
      <xdr:colOff>305688</xdr:colOff>
      <xdr:row>17</xdr:row>
      <xdr:rowOff>29965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2522" y="2597349"/>
          <a:ext cx="788766" cy="671116"/>
        </a:xfrm>
        <a:prstGeom prst="rect">
          <a:avLst/>
        </a:prstGeom>
      </xdr:spPr>
    </xdr:pic>
    <xdr:clientData/>
  </xdr:twoCellAnchor>
  <xdr:twoCellAnchor>
    <xdr:from>
      <xdr:col>5</xdr:col>
      <xdr:colOff>371475</xdr:colOff>
      <xdr:row>4</xdr:row>
      <xdr:rowOff>120848</xdr:rowOff>
    </xdr:from>
    <xdr:to>
      <xdr:col>9</xdr:col>
      <xdr:colOff>590550</xdr:colOff>
      <xdr:row>21</xdr:row>
      <xdr:rowOff>78979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D0652093-97F7-4C73-85EA-3A452F3A0855}"/>
            </a:ext>
          </a:extLst>
        </xdr:cNvPr>
        <xdr:cNvGrpSpPr/>
      </xdr:nvGrpSpPr>
      <xdr:grpSpPr>
        <a:xfrm>
          <a:off x="3419475" y="882848"/>
          <a:ext cx="2657475" cy="3196631"/>
          <a:chOff x="4591050" y="1028700"/>
          <a:chExt cx="2657475" cy="3448051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CAD70086-9ED8-4EFB-97F5-D54D22D696E1}"/>
              </a:ext>
            </a:extLst>
          </xdr:cNvPr>
          <xdr:cNvGrpSpPr/>
        </xdr:nvGrpSpPr>
        <xdr:grpSpPr>
          <a:xfrm>
            <a:off x="4591050" y="1028700"/>
            <a:ext cx="2657475" cy="3448051"/>
            <a:chOff x="3695700" y="866775"/>
            <a:chExt cx="2657475" cy="3448051"/>
          </a:xfrm>
        </xdr:grpSpPr>
        <xdr:sp macro="" textlink="">
          <xdr:nvSpPr>
            <xdr:cNvPr id="38" name="Retângulo: Cantos Arredondados 37">
              <a:extLst>
                <a:ext uri="{FF2B5EF4-FFF2-40B4-BE49-F238E27FC236}">
                  <a16:creationId xmlns:a16="http://schemas.microsoft.com/office/drawing/2014/main" id="{D6AA1E49-772A-4529-BBC8-393660C246FA}"/>
                </a:ext>
              </a:extLst>
            </xdr:cNvPr>
            <xdr:cNvSpPr/>
          </xdr:nvSpPr>
          <xdr:spPr>
            <a:xfrm>
              <a:off x="3695700" y="86677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Lançamentos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40" name="Agrupar 39">
              <a:extLst>
                <a:ext uri="{FF2B5EF4-FFF2-40B4-BE49-F238E27FC236}">
                  <a16:creationId xmlns:a16="http://schemas.microsoft.com/office/drawing/2014/main" id="{8740AB46-5184-4BBC-B929-2F34F481E318}"/>
                </a:ext>
              </a:extLst>
            </xdr:cNvPr>
            <xdr:cNvGrpSpPr/>
          </xdr:nvGrpSpPr>
          <xdr:grpSpPr>
            <a:xfrm>
              <a:off x="3762376" y="2095500"/>
              <a:ext cx="2574000" cy="647700"/>
              <a:chOff x="9886951" y="1905000"/>
              <a:chExt cx="2533650" cy="647700"/>
            </a:xfrm>
          </xdr:grpSpPr>
          <xdr:sp macro="[0]!ChamarLancPenhor" textlink="">
            <xdr:nvSpPr>
              <xdr:cNvPr id="14" name="Retângulo: Cantos Arredondados 13">
                <a:extLst>
                  <a:ext uri="{FF2B5EF4-FFF2-40B4-BE49-F238E27FC236}">
                    <a16:creationId xmlns:a16="http://schemas.microsoft.com/office/drawing/2014/main" id="{DB8DA108-148E-4C05-8F5A-FE6394D039EA}"/>
                  </a:ext>
                </a:extLst>
              </xdr:cNvPr>
              <xdr:cNvSpPr/>
            </xdr:nvSpPr>
            <xdr:spPr>
              <a:xfrm>
                <a:off x="9886951" y="19050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</a:t>
                </a:r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Lançamento de Penhor</a:t>
                </a:r>
              </a:p>
            </xdr:txBody>
          </xdr:sp>
          <xdr:pic>
            <xdr:nvPicPr>
              <xdr:cNvPr id="18" name="Imagem 17">
                <a:extLst>
                  <a:ext uri="{FF2B5EF4-FFF2-40B4-BE49-F238E27FC236}">
                    <a16:creationId xmlns:a16="http://schemas.microsoft.com/office/drawing/2014/main" id="{BED0CF73-78FC-4D9D-94C0-4183228FFCD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953625" y="1914525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34A51154-8BCD-49C2-9173-0CFAE77E5BCA}"/>
                </a:ext>
              </a:extLst>
            </xdr:cNvPr>
            <xdr:cNvGrpSpPr/>
          </xdr:nvGrpSpPr>
          <xdr:grpSpPr>
            <a:xfrm>
              <a:off x="3752851" y="2781300"/>
              <a:ext cx="2574000" cy="647700"/>
              <a:chOff x="3752851" y="2781300"/>
              <a:chExt cx="2574000" cy="647700"/>
            </a:xfrm>
          </xdr:grpSpPr>
          <xdr:sp macro="[0]!ChamarPagamento" textlink="">
            <xdr:nvSpPr>
              <xdr:cNvPr id="46" name="Retângulo: Cantos Arredondados 45">
                <a:extLst>
                  <a:ext uri="{FF2B5EF4-FFF2-40B4-BE49-F238E27FC236}">
                    <a16:creationId xmlns:a16="http://schemas.microsoft.com/office/drawing/2014/main" id="{EED96968-216E-4F80-9916-9A5530655597}"/>
                  </a:ext>
                </a:extLst>
              </xdr:cNvPr>
              <xdr:cNvSpPr/>
            </xdr:nvSpPr>
            <xdr:spPr>
              <a:xfrm>
                <a:off x="3752851" y="27813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Pagamentos Peritos</a:t>
                </a:r>
              </a:p>
            </xdr:txBody>
          </xdr:sp>
          <xdr:pic>
            <xdr:nvPicPr>
              <xdr:cNvPr id="49" name="Imagem 48">
                <a:extLst>
                  <a:ext uri="{FF2B5EF4-FFF2-40B4-BE49-F238E27FC236}">
                    <a16:creationId xmlns:a16="http://schemas.microsoft.com/office/drawing/2014/main" id="{FCA40E52-DB80-471C-B1A8-25E6827F3D5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886200" y="2790825"/>
                <a:ext cx="609600" cy="609600"/>
              </a:xfrm>
              <a:prstGeom prst="rect">
                <a:avLst/>
              </a:prstGeom>
            </xdr:spPr>
          </xdr:pic>
        </xdr:grpSp>
        <xdr:sp macro="[0]!ChamarRecebimento" textlink="">
          <xdr:nvSpPr>
            <xdr:cNvPr id="50" name="Retângulo: Cantos Arredondados 49">
              <a:extLst>
                <a:ext uri="{FF2B5EF4-FFF2-40B4-BE49-F238E27FC236}">
                  <a16:creationId xmlns:a16="http://schemas.microsoft.com/office/drawing/2014/main" id="{57B1C42C-19F9-4CDA-AA34-BBAE846F43FF}"/>
                </a:ext>
              </a:extLst>
            </xdr:cNvPr>
            <xdr:cNvSpPr/>
          </xdr:nvSpPr>
          <xdr:spPr>
            <a:xfrm>
              <a:off x="3743325" y="34671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Recebimento Seguradoras</a:t>
              </a:r>
            </a:p>
          </xdr:txBody>
        </xdr:sp>
        <xdr:grpSp>
          <xdr:nvGrpSpPr>
            <xdr:cNvPr id="39" name="Agrupar 38">
              <a:extLst>
                <a:ext uri="{FF2B5EF4-FFF2-40B4-BE49-F238E27FC236}">
                  <a16:creationId xmlns:a16="http://schemas.microsoft.com/office/drawing/2014/main" id="{B4229E61-2CE6-4CDC-843C-249626192090}"/>
                </a:ext>
              </a:extLst>
            </xdr:cNvPr>
            <xdr:cNvGrpSpPr/>
          </xdr:nvGrpSpPr>
          <xdr:grpSpPr>
            <a:xfrm>
              <a:off x="3743326" y="1390650"/>
              <a:ext cx="2574000" cy="647700"/>
              <a:chOff x="9858376" y="1171575"/>
              <a:chExt cx="2533650" cy="647700"/>
            </a:xfrm>
          </xdr:grpSpPr>
          <xdr:sp macro="[0]!ChamarLancPericia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7A1AB208-7E87-478F-AAE2-AEE61C4AD456}"/>
                  </a:ext>
                </a:extLst>
              </xdr:cNvPr>
              <xdr:cNvSpPr/>
            </xdr:nvSpPr>
            <xdr:spPr>
              <a:xfrm>
                <a:off x="9858376" y="11715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Lançamento de Pericias </a:t>
                </a:r>
              </a:p>
            </xdr:txBody>
          </xdr:sp>
          <xdr:pic>
            <xdr:nvPicPr>
              <xdr:cNvPr id="15" name="Imagem 14">
                <a:extLst>
                  <a:ext uri="{FF2B5EF4-FFF2-40B4-BE49-F238E27FC236}">
                    <a16:creationId xmlns:a16="http://schemas.microsoft.com/office/drawing/2014/main" id="{B793AEFE-20DA-4046-B155-5D4F1AA3938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915525" y="1209675"/>
                <a:ext cx="609600" cy="609600"/>
              </a:xfrm>
              <a:prstGeom prst="rect">
                <a:avLst/>
              </a:prstGeom>
            </xdr:spPr>
          </xdr:pic>
        </xdr:grpSp>
      </xdr:grp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24400" y="36385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428626</xdr:colOff>
      <xdr:row>13</xdr:row>
      <xdr:rowOff>180975</xdr:rowOff>
    </xdr:from>
    <xdr:to>
      <xdr:col>19</xdr:col>
      <xdr:colOff>141826</xdr:colOff>
      <xdr:row>17</xdr:row>
      <xdr:rowOff>66675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27AF5E9-AF00-4612-8AB3-8F83A038C12C}"/>
            </a:ext>
          </a:extLst>
        </xdr:cNvPr>
        <xdr:cNvGrpSpPr/>
      </xdr:nvGrpSpPr>
      <xdr:grpSpPr>
        <a:xfrm>
          <a:off x="8963026" y="2657475"/>
          <a:ext cx="2761200" cy="647700"/>
          <a:chOff x="8972551" y="2609850"/>
          <a:chExt cx="2761200" cy="716400"/>
        </a:xfrm>
      </xdr:grpSpPr>
      <xdr:sp macro="[0]!ChamarResultad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8DA5F62-7356-4EA2-A866-26B172D22EA4}"/>
              </a:ext>
            </a:extLst>
          </xdr:cNvPr>
          <xdr:cNvSpPr/>
        </xdr:nvSpPr>
        <xdr:spPr>
          <a:xfrm>
            <a:off x="8972551" y="2609850"/>
            <a:ext cx="2761200" cy="7164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Resultado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E0AEDD5-3056-4105-8B5C-4EB99DC85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638425"/>
            <a:ext cx="657225" cy="65722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66674</xdr:rowOff>
    </xdr:from>
    <xdr:to>
      <xdr:col>13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8</xdr:row>
      <xdr:rowOff>152400</xdr:rowOff>
    </xdr:from>
    <xdr:to>
      <xdr:col>3</xdr:col>
      <xdr:colOff>104775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0</xdr:col>
      <xdr:colOff>104775</xdr:colOff>
      <xdr:row>28</xdr:row>
      <xdr:rowOff>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0</xdr:col>
      <xdr:colOff>95250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1</xdr:row>
      <xdr:rowOff>47625</xdr:rowOff>
    </xdr:from>
    <xdr:to>
      <xdr:col>0</xdr:col>
      <xdr:colOff>76200</xdr:colOff>
      <xdr:row>8</xdr:row>
      <xdr:rowOff>85725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0" name="DT LANCAMENTO 2">
              <a:extLst>
                <a:ext uri="{FF2B5EF4-FFF2-40B4-BE49-F238E27FC236}">
                  <a16:creationId xmlns:a16="http://schemas.microsoft.com/office/drawing/2014/main" id="{EB6B3111-23D1-4B09-B877-DD32DA760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LANCAM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552450"/>
              <a:ext cx="0" cy="138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33337</xdr:colOff>
      <xdr:row>1</xdr:row>
      <xdr:rowOff>76199</xdr:rowOff>
    </xdr:from>
    <xdr:to>
      <xdr:col>11</xdr:col>
      <xdr:colOff>104775</xdr:colOff>
      <xdr:row>16</xdr:row>
      <xdr:rowOff>133349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428625</xdr:colOff>
      <xdr:row>8</xdr:row>
      <xdr:rowOff>104775</xdr:rowOff>
    </xdr:from>
    <xdr:to>
      <xdr:col>7</xdr:col>
      <xdr:colOff>295275</xdr:colOff>
      <xdr:row>11</xdr:row>
      <xdr:rowOff>9525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7675" y="1952625"/>
          <a:ext cx="476250" cy="47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28571</xdr:colOff>
      <xdr:row>0</xdr:row>
      <xdr:rowOff>47624</xdr:rowOff>
    </xdr:from>
    <xdr:to>
      <xdr:col>0</xdr:col>
      <xdr:colOff>2548571</xdr:colOff>
      <xdr:row>0</xdr:row>
      <xdr:rowOff>407624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28571" y="47624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Atualizar dados tabela</a:t>
          </a:r>
          <a:r>
            <a:rPr lang="pt-BR" sz="1100" baseline="0">
              <a:solidFill>
                <a:sysClr val="windowText" lastClr="000000"/>
              </a:solidFill>
            </a:rPr>
            <a:t> dinâmica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2619373</xdr:colOff>
      <xdr:row>0</xdr:row>
      <xdr:rowOff>47624</xdr:rowOff>
    </xdr:from>
    <xdr:to>
      <xdr:col>3</xdr:col>
      <xdr:colOff>5398</xdr:colOff>
      <xdr:row>0</xdr:row>
      <xdr:rowOff>407624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2619373" y="47624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76200</xdr:colOff>
      <xdr:row>0</xdr:row>
      <xdr:rowOff>47625</xdr:rowOff>
    </xdr:from>
    <xdr:to>
      <xdr:col>5</xdr:col>
      <xdr:colOff>576900</xdr:colOff>
      <xdr:row>0</xdr:row>
      <xdr:rowOff>407625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5210175" y="47625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104775</xdr:colOff>
      <xdr:row>8</xdr:row>
      <xdr:rowOff>152400</xdr:rowOff>
    </xdr:from>
    <xdr:to>
      <xdr:col>6</xdr:col>
      <xdr:colOff>104775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2437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3</xdr:col>
      <xdr:colOff>95250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1</xdr:row>
      <xdr:rowOff>47625</xdr:rowOff>
    </xdr:from>
    <xdr:to>
      <xdr:col>6</xdr:col>
      <xdr:colOff>85726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DT LANCAMENTO">
              <a:extLst>
                <a:ext uri="{FF2B5EF4-FFF2-40B4-BE49-F238E27FC236}">
                  <a16:creationId xmlns:a16="http://schemas.microsoft.com/office/drawing/2014/main" id="{B0C0006F-1228-4D31-9467-7B063EF9E3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LANC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552450"/>
              <a:ext cx="3667126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22</xdr:row>
      <xdr:rowOff>19051</xdr:rowOff>
    </xdr:from>
    <xdr:to>
      <xdr:col>6</xdr:col>
      <xdr:colOff>104775</xdr:colOff>
      <xdr:row>28</xdr:row>
      <xdr:rowOff>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45339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180974</xdr:colOff>
      <xdr:row>1</xdr:row>
      <xdr:rowOff>76198</xdr:rowOff>
    </xdr:from>
    <xdr:to>
      <xdr:col>9</xdr:col>
      <xdr:colOff>332174</xdr:colOff>
      <xdr:row>7</xdr:row>
      <xdr:rowOff>3673</xdr:rowOff>
    </xdr:to>
    <xdr:sp macro="" textlink="TbDinamicaReceber!X18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38574" y="5810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Valor a Receber</a:t>
          </a:r>
          <a:fld id="{D270C1F9-43C2-4EEB-A70B-1D85E1528E30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 R$1.400,00 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85724</xdr:rowOff>
    </xdr:from>
    <xdr:to>
      <xdr:col>0</xdr:col>
      <xdr:colOff>2739075</xdr:colOff>
      <xdr:row>0</xdr:row>
      <xdr:rowOff>445724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4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2819399</xdr:colOff>
      <xdr:row>0</xdr:row>
      <xdr:rowOff>95249</xdr:rowOff>
    </xdr:from>
    <xdr:to>
      <xdr:col>3</xdr:col>
      <xdr:colOff>681674</xdr:colOff>
      <xdr:row>0</xdr:row>
      <xdr:rowOff>455249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2819399" y="95249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771525</xdr:colOff>
      <xdr:row>0</xdr:row>
      <xdr:rowOff>95250</xdr:rowOff>
    </xdr:from>
    <xdr:to>
      <xdr:col>6</xdr:col>
      <xdr:colOff>291150</xdr:colOff>
      <xdr:row>0</xdr:row>
      <xdr:rowOff>455250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5429250" y="95250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8</xdr:row>
      <xdr:rowOff>171450</xdr:rowOff>
    </xdr:from>
    <xdr:to>
      <xdr:col>3</xdr:col>
      <xdr:colOff>123825</xdr:colOff>
      <xdr:row>22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28575</xdr:rowOff>
    </xdr:from>
    <xdr:to>
      <xdr:col>6</xdr:col>
      <xdr:colOff>152400</xdr:colOff>
      <xdr:row>28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54342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22</xdr:row>
      <xdr:rowOff>28576</xdr:rowOff>
    </xdr:from>
    <xdr:to>
      <xdr:col>3</xdr:col>
      <xdr:colOff>123825</xdr:colOff>
      <xdr:row>28</xdr:row>
      <xdr:rowOff>180976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4543426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8</xdr:row>
      <xdr:rowOff>171450</xdr:rowOff>
    </xdr:from>
    <xdr:to>
      <xdr:col>6</xdr:col>
      <xdr:colOff>161925</xdr:colOff>
      <xdr:row>22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114299</xdr:colOff>
      <xdr:row>1</xdr:row>
      <xdr:rowOff>104775</xdr:rowOff>
    </xdr:from>
    <xdr:to>
      <xdr:col>6</xdr:col>
      <xdr:colOff>142874</xdr:colOff>
      <xdr:row>8</xdr:row>
      <xdr:rowOff>142875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7" name="DT LANCAMENTO 1">
              <a:extLst>
                <a:ext uri="{FF2B5EF4-FFF2-40B4-BE49-F238E27FC236}">
                  <a16:creationId xmlns:a16="http://schemas.microsoft.com/office/drawing/2014/main" id="{618A7886-EA38-4097-9D4D-5B90BE7DA6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LANC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" y="609600"/>
              <a:ext cx="36861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209550</xdr:colOff>
      <xdr:row>1</xdr:row>
      <xdr:rowOff>123824</xdr:rowOff>
    </xdr:from>
    <xdr:to>
      <xdr:col>9</xdr:col>
      <xdr:colOff>360750</xdr:colOff>
      <xdr:row>7</xdr:row>
      <xdr:rowOff>60824</xdr:rowOff>
    </xdr:to>
    <xdr:sp macro="" textlink="TbDinamicaApagar!AG27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67150" y="628649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t>Valor a Pagar</a:t>
          </a:r>
          <a:fld id="{8D1A91A6-9A85-443D-8573-0F60CC66FA1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R$515,00 </a:t>
          </a:fld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1.048296643516" createdVersion="6" refreshedVersion="6" minRefreshableVersion="3" recordCount="4" xr:uid="{3BBD0547-5433-408F-BE62-51CE7B9EDB04}">
  <cacheSource type="worksheet">
    <worksheetSource name="Tabela7"/>
  </cacheSource>
  <cacheFields count="20">
    <cacheField name="PERITO" numFmtId="0">
      <sharedItems count="2">
        <s v="CARLOS EDUARDO DE LIMA JUNIOR"/>
        <s v="LUCAS CARLOS NEIS"/>
      </sharedItems>
    </cacheField>
    <cacheField name="SINISTRO" numFmtId="0">
      <sharedItems containsSemiMixedTypes="0" containsString="0" containsNumber="1" containsInteger="1" minValue="2" maxValue="8" count="4">
        <n v="2"/>
        <n v="3"/>
        <n v="8"/>
        <n v="5"/>
      </sharedItems>
    </cacheField>
    <cacheField name="APOLICE" numFmtId="0">
      <sharedItems containsNonDate="0" containsString="0" containsBlank="1" count="1">
        <m/>
      </sharedItems>
    </cacheField>
    <cacheField name="DT VISTORIA" numFmtId="14">
      <sharedItems containsDate="1" containsMixedTypes="1" minDate="2021-04-03T00:00:00" maxDate="2021-04-04T00:00:00" count="3">
        <s v="17/02/2021"/>
        <s v="18/02/2021"/>
        <d v="2021-04-03T00:00:00"/>
      </sharedItems>
    </cacheField>
    <cacheField name="HONORÁRIO R$ " numFmtId="7">
      <sharedItems containsSemiMixedTypes="0" containsString="0" containsNumber="1" containsInteger="1" minValue="101" maxValue="150" count="4">
        <n v="101"/>
        <n v="103"/>
        <n v="150"/>
        <n v="105"/>
      </sharedItems>
    </cacheField>
    <cacheField name="VALOR KM R$" numFmtId="7">
      <sharedItems containsSemiMixedTypes="0" containsString="0" containsNumber="1" containsInteger="1" minValue="0" maxValue="13" count="3">
        <n v="0"/>
        <n v="13"/>
        <n v="12"/>
      </sharedItems>
    </cacheField>
    <cacheField name="HOTEL" numFmtId="7">
      <sharedItems containsSemiMixedTypes="0" containsString="0" containsNumber="1" containsInteger="1" minValue="0" maxValue="0" count="1">
        <n v="0"/>
      </sharedItems>
    </cacheField>
    <cacheField name="REFEIÇÃO" numFmtId="7">
      <sharedItems containsSemiMixedTypes="0" containsString="0" containsNumber="1" containsInteger="1" minValue="0" maxValue="10" count="2">
        <n v="0"/>
        <n v="10"/>
      </sharedItems>
    </cacheField>
    <cacheField name="PEDÁGIO " numFmtId="7">
      <sharedItems containsString="0" containsBlank="1" containsNumber="1" containsInteger="1" minValue="10" maxValue="10" count="2">
        <n v="10"/>
        <m/>
      </sharedItems>
    </cacheField>
    <cacheField name="PASSAGEM ÁERA" numFmtId="7">
      <sharedItems containsString="0" containsBlank="1" containsNumber="1" containsInteger="1" minValue="0" maxValue="0" count="2">
        <n v="0"/>
        <m/>
      </sharedItems>
    </cacheField>
    <cacheField name="ALUGUEL CARRO " numFmtId="7">
      <sharedItems containsString="0" containsBlank="1" containsNumber="1" containsInteger="1" minValue="0" maxValue="0" count="2">
        <n v="0"/>
        <m/>
      </sharedItems>
    </cacheField>
    <cacheField name="OUTROS " numFmtId="7">
      <sharedItems containsSemiMixedTypes="0" containsString="0" containsNumber="1" containsInteger="1" minValue="0" maxValue="0" count="1">
        <n v="0"/>
      </sharedItems>
    </cacheField>
    <cacheField name=" TOTAL " numFmtId="7">
      <sharedItems containsSemiMixedTypes="0" containsString="0" containsNumber="1" containsInteger="1" minValue="111" maxValue="172" count="3">
        <n v="111"/>
        <n v="116"/>
        <n v="172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  <fieldGroup par="18" base="13">
        <rangePr groupBy="days" startDate="2021-02-28T00:00:00" endDate="2021-03-05T00:00:00"/>
        <groupItems count="368">
          <s v="&lt;28/02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5/03/2021"/>
        </groupItems>
      </fieldGroup>
    </cacheField>
    <cacheField name="TIPO" numFmtId="0">
      <sharedItems count="2">
        <s v="Penhor"/>
        <s v="Pericia"/>
      </sharedItems>
    </cacheField>
    <cacheField name="STATUS" numFmtId="0">
      <sharedItems count="1">
        <s v="Aberto"/>
      </sharedItems>
    </cacheField>
    <cacheField name="DT PAGAMENTO" numFmtId="0">
      <sharedItems containsNonDate="0" containsDate="1" containsString="0" containsBlank="1" minDate="2021-02-28T00:00:00" maxDate="2021-03-03T00:00:00" count="3">
        <d v="2021-02-28T00:00:00"/>
        <m/>
        <d v="2021-03-02T00:00:00"/>
      </sharedItems>
      <fieldGroup par="19" base="16">
        <rangePr groupBy="days" startDate="2021-02-28T00:00:00" endDate="2021-03-03T00:00:00"/>
        <groupItems count="368">
          <s v="(vazio)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03/2021"/>
        </groupItems>
      </fieldGroup>
    </cacheField>
    <cacheField name="SEGURADORA" numFmtId="0">
      <sharedItems count="3">
        <s v="ALLIANZ"/>
        <s v="NEWE"/>
        <s v="SANCOR"/>
      </sharedItems>
    </cacheField>
    <cacheField name="Meses" numFmtId="0" databaseField="0">
      <fieldGroup base="13">
        <rangePr groupBy="months" startDate="2021-02-28T00:00:00" endDate="2021-03-05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3/2021"/>
        </groupItems>
      </fieldGroup>
    </cacheField>
    <cacheField name="Meses2" numFmtId="0" databaseField="0">
      <fieldGroup base="16">
        <rangePr groupBy="months" startDate="2021-02-28T00:00:00" endDate="2021-03-03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03/2021"/>
        </groupItems>
      </fieldGroup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1.079994560183" createdVersion="6" refreshedVersion="6" minRefreshableVersion="3" recordCount="2" xr:uid="{D166E7A9-87FE-4228-9291-9CD046157291}">
  <cacheSource type="worksheet">
    <worksheetSource name="Tabela4"/>
  </cacheSource>
  <cacheFields count="36">
    <cacheField name="DT RECEBIMENTO" numFmtId="14">
      <sharedItems containsSemiMixedTypes="0" containsNonDate="0" containsDate="1" containsString="0" minDate="2020-01-01T00:00:00" maxDate="2021-02-22T00:00:00" count="7">
        <d v="2021-02-16T00:00:00"/>
        <d v="2021-02-15T00:00:00"/>
        <d v="2021-02-21T00:00:00" u="1"/>
        <d v="2021-02-10T00:00:00" u="1"/>
        <d v="2021-02-01T00:00:00" u="1"/>
        <d v="2021-02-20T00:00:00" u="1"/>
        <d v="2020-01-01T00:00:00" u="1"/>
      </sharedItems>
    </cacheField>
    <cacheField name="NF" numFmtId="0">
      <sharedItems containsString="0" containsBlank="1" containsNumber="1" containsInteger="1" minValue="1" maxValue="1"/>
    </cacheField>
    <cacheField name="DT VISTORIA " numFmtId="0">
      <sharedItems containsDate="1" containsBlank="1" containsMixedTypes="1" minDate="2021-01-01T00:00:00" maxDate="2021-02-22T00:00:00" count="4">
        <s v="17/02/2021"/>
        <m/>
        <d v="2021-02-21T00:00:00" u="1"/>
        <d v="2021-01-01T00:00:00" u="1"/>
      </sharedItems>
    </cacheField>
    <cacheField name="DT REVISTORIA" numFmtId="0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0">
      <sharedItems containsSemiMixedTypes="0" containsString="0" containsNumber="1" containsInteger="1" minValue="0" maxValue="12587" count="8">
        <n v="2"/>
        <n v="1"/>
        <n v="0" u="1"/>
        <n v="1253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0" count="3">
        <s v="Maria"/>
        <s v="Pedro"/>
        <n v="0" u="1"/>
      </sharedItems>
    </cacheField>
    <cacheField name="MUNICIPIO " numFmtId="0">
      <sharedItems containsMixedTypes="1" containsNumber="1" containsInteger="1" minValue="0" maxValue="0" count="2">
        <s v="Toledo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NATUREZA DO SINISTRO" numFmtId="0">
      <sharedItems/>
    </cacheField>
    <cacheField name="PERITO " numFmtId="0">
      <sharedItems/>
    </cacheField>
    <cacheField name=" HONORÁRIO R$  " numFmtId="0">
      <sharedItems containsString="0" containsBlank="1" containsNumber="1" containsInteger="1" minValue="101" maxValue="101"/>
    </cacheField>
    <cacheField name="KM  " numFmtId="0">
      <sharedItems containsString="0" containsBlank="1" containsNumber="1" containsInteger="1" minValue="10" maxValue="10"/>
    </cacheField>
    <cacheField name="KM R$" numFmtId="0">
      <sharedItems containsString="0" containsBlank="1" containsNumber="1" containsInteger="1" minValue="0" maxValue="0"/>
    </cacheField>
    <cacheField name="PEDÁGIO " numFmtId="0">
      <sharedItems containsString="0" containsBlank="1" containsNumber="1" containsInteger="1" minValue="10" maxValue="10"/>
    </cacheField>
    <cacheField name="HOTEL " numFmtId="0">
      <sharedItems containsString="0" containsBlank="1" containsNumber="1" containsInteger="1" minValue="0" maxValue="0"/>
    </cacheField>
    <cacheField name="REFEIÇÃO " numFmtId="0">
      <sharedItems containsString="0" containsBlank="1" containsNumber="1" containsInteger="1" minValue="0" maxValue="0"/>
    </cacheField>
    <cacheField name="PASSAGEM ÁERA" numFmtId="0">
      <sharedItems containsString="0" containsBlank="1" containsNumber="1" containsInteger="1" minValue="0" maxValue="0"/>
    </cacheField>
    <cacheField name="ALUGUEL CARRO " numFmtId="0">
      <sharedItems containsString="0" containsBlank="1" containsNumber="1" containsInteger="1" minValue="0" maxValue="0"/>
    </cacheField>
    <cacheField name="OUTROS " numFmtId="0">
      <sharedItems containsString="0" containsBlank="1" containsNumber="1" containsInteger="1" minValue="0" maxValue="0"/>
    </cacheField>
    <cacheField name="TOTAL  " numFmtId="0">
      <sharedItems containsString="0" containsBlank="1" containsNumber="1" containsInteger="1" minValue="111" maxValue="111"/>
    </cacheField>
    <cacheField name="SEGURADORA" numFmtId="44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8T00:00:00" maxDate="2021-03-01T00:00:00"/>
    </cacheField>
    <cacheField name="KM RODADO EMPRESA" numFmtId="0">
      <sharedItems containsString="0" containsBlank="1" containsNumber="1" containsInteger="1" minValue="10" maxValue="10"/>
    </cacheField>
    <cacheField name="KM R$ EMPR" numFmtId="0">
      <sharedItems containsString="0" containsBlank="1" containsNumber="1" containsInteger="1" minValue="0" maxValue="0"/>
    </cacheField>
    <cacheField name="DT AGENDAMENTO" numFmtId="14">
      <sharedItems containsSemiMixedTypes="0" containsNonDate="0" containsDate="1" containsString="0" minDate="2020-01-01T00:00:00" maxDate="2021-03-02T00:00:00" count="6">
        <d v="2021-02-17T00:00:00"/>
        <d v="2021-02-16T00:00:00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tring="0" containsBlank="1" containsNumber="1" containsInteger="1" minValue="202" maxValue="202"/>
    </cacheField>
    <cacheField name="TOTAL EMPRESA" numFmtId="0">
      <sharedItems containsString="0" containsBlank="1" containsNumber="1" containsInteger="1" minValue="212" maxValue="212"/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1.079994791668" createdVersion="6" refreshedVersion="6" minRefreshableVersion="3" recordCount="5" xr:uid="{B62C7716-6BAC-4E92-9E21-C2BC846F8282}">
  <cacheSource type="worksheet">
    <worksheetSource name="Tabela3"/>
  </cacheSource>
  <cacheFields count="33">
    <cacheField name="DT RECEBIMENTO" numFmtId="14">
      <sharedItems containsDate="1" containsMixedTypes="1" minDate="2020-01-01T00:00:00" maxDate="2021-04-04T00:00:00" count="5">
        <s v="19/02/2021"/>
        <s v="17/02/2021"/>
        <d v="2021-04-03T00:00:00"/>
        <d v="2021-01-02T00:00:00" u="1"/>
        <d v="2020-01-01T00:00:00" u="1"/>
      </sharedItems>
    </cacheField>
    <cacheField name="DT VISTORIA" numFmtId="14">
      <sharedItems containsDate="1" containsBlank="1" containsMixedTypes="1" minDate="2020-01-01T00:00:00" maxDate="2021-04-04T00:00:00" count="8">
        <d v="2021-04-03T00:00:00"/>
        <s v="18/02/2021"/>
        <d v="2021-03-04T00:00:00"/>
        <m/>
        <d v="2021-03-02T00:00:00" u="1"/>
        <s v="20/02/2021" u="1"/>
        <d v="2021-02-02T00:00:00" u="1"/>
        <d v="2020-01-01T00:00:00" u="1"/>
      </sharedItems>
    </cacheField>
    <cacheField name="DT ENTREGA " numFmtId="14">
      <sharedItems containsDate="1" containsBlank="1" containsMixedTypes="1" minDate="2021-03-04T00:00:00" maxDate="2021-04-04T00:00:00"/>
    </cacheField>
    <cacheField name="NF" numFmtId="1">
      <sharedItems containsString="0" containsBlank="1" containsNumber="1" containsInteger="1" minValue="2" maxValue="112"/>
    </cacheField>
    <cacheField name="SINISTRO" numFmtId="1">
      <sharedItems containsSemiMixedTypes="0" containsString="0" containsNumber="1" containsInteger="1" minValue="0" maxValue="158" count="10">
        <n v="4"/>
        <n v="3"/>
        <n v="6"/>
        <n v="7"/>
        <n v="8"/>
        <n v="0" u="1"/>
        <n v="125" u="1"/>
        <n v="5" u="1"/>
        <n v="1" u="1"/>
        <n v="158" u="1"/>
      </sharedItems>
    </cacheField>
    <cacheField name="APÓLICE" numFmtId="1">
      <sharedItems containsSemiMixedTypes="0" containsString="0" containsNumber="1" containsInteger="1" minValue="1" maxValue="121"/>
    </cacheField>
    <cacheField name="PROPOSTA" numFmtId="2">
      <sharedItems containsSemiMixedTypes="0" containsString="0" containsNumber="1" containsInteger="1" minValue="1" maxValue="152"/>
    </cacheField>
    <cacheField name="SEGURADO" numFmtId="0">
      <sharedItems containsMixedTypes="1" containsNumber="1" containsInteger="1" minValue="0" maxValue="0" count="6">
        <s v="Cleiton"/>
        <s v="Felipe"/>
        <s v="Mario"/>
        <s v="Marta"/>
        <s v="Flavio"/>
        <n v="0" u="1"/>
      </sharedItems>
    </cacheField>
    <cacheField name="OBS:" numFmtId="0">
      <sharedItems/>
    </cacheField>
    <cacheField name="MUNICIPIO " numFmtId="0">
      <sharedItems containsMixedTypes="1" containsNumber="1" containsInteger="1" minValue="0" maxValue="0" count="3">
        <s v="Toledo"/>
        <s v="Cascavel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 containsBlank="1"/>
    </cacheField>
    <cacheField name="AREA SEGURADA" numFmtId="2">
      <sharedItems containsSemiMixedTypes="0" containsString="0" containsNumber="1" containsInteger="1" minValue="10" maxValue="12"/>
    </cacheField>
    <cacheField name="AREA VISTORIADA" numFmtId="2">
      <sharedItems containsBlank="1"/>
    </cacheField>
    <cacheField name="SEGURADORA" numFmtId="49">
      <sharedItems/>
    </cacheField>
    <cacheField name="HONORÁRIO R$ " numFmtId="7">
      <sharedItems containsSemiMixedTypes="0" containsString="0" containsNumber="1" containsInteger="1" minValue="103" maxValue="250"/>
    </cacheField>
    <cacheField name="KM RODADO PERITO" numFmtId="0">
      <sharedItems containsSemiMixedTypes="0" containsString="0" containsNumber="1" containsInteger="1" minValue="10" maxValue="10"/>
    </cacheField>
    <cacheField name="VALOR KM R$" numFmtId="7">
      <sharedItems containsSemiMixedTypes="0" containsString="0" containsNumber="1" containsInteger="1" minValue="12" maxValue="13"/>
    </cacheField>
    <cacheField name="KM RODADO EMPRESA" numFmtId="0">
      <sharedItems containsSemiMixedTypes="0" containsString="0" containsNumber="1" containsInteger="1" minValue="0" maxValue="10"/>
    </cacheField>
    <cacheField name="KM R$ EMPR" numFmtId="7">
      <sharedItems containsSemiMixedTypes="0" containsString="0" containsNumber="1" containsInteger="1" minValue="0" maxValue="13"/>
    </cacheField>
    <cacheField name="HOTEL" numFmtId="7">
      <sharedItems containsSemiMixedTypes="0" containsString="0" containsNumber="1" containsInteger="1" minValue="0" maxValue="0"/>
    </cacheField>
    <cacheField name="REFEIÇÃO" numFmtId="7">
      <sharedItems containsSemiMixedTypes="0" containsString="0" containsNumber="1" containsInteger="1" minValue="0" maxValue="50"/>
    </cacheField>
    <cacheField name="OUTROS " numFmtId="7">
      <sharedItems containsSemiMixedTypes="0" containsString="0" containsNumber="1" containsInteger="1" minValue="0" maxValue="0"/>
    </cacheField>
    <cacheField name="TOTAL " numFmtId="7">
      <sharedItems containsSemiMixedTypes="0" containsString="0" containsNumber="1" containsInteger="1" minValue="116" maxValue="262"/>
    </cacheField>
    <cacheField name="DT LANÇAMENTO " numFmtId="14">
      <sharedItems containsDate="1" containsMixedTypes="1" minDate="2021-04-03T00:00:00" maxDate="2021-04-04T00:00:00"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Date="1" containsMixedTypes="1" minDate="2020-01-01T00:00:00" maxDate="2021-05-04T00:00:00" count="7">
        <s v="21/02/2021"/>
        <s v="18/02/2021"/>
        <d v="2021-05-03T00:00:00"/>
        <d v="2021-04-03T00:00:00"/>
        <d v="2021-03-03T00:00:00" u="1"/>
        <d v="2021-01-03T00:00:00" u="1"/>
        <d v="2020-01-01T00:00:00" u="1"/>
      </sharedItems>
    </cacheField>
    <cacheField name="HONORARIO EMPRESA" numFmtId="0">
      <sharedItems containsString="0" containsBlank="1" containsNumber="1" containsInteger="1" minValue="200" maxValue="450"/>
    </cacheField>
    <cacheField name="TOTAL EMPRESA" numFmtId="0">
      <sharedItems containsString="0" containsBlank="1" containsNumber="1" containsInteger="1" minValue="229" maxValue="4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1.11345798611" createdVersion="6" refreshedVersion="6" minRefreshableVersion="3" recordCount="6" xr:uid="{1B14A92F-CACB-47FA-8DC0-D836847A0DFC}">
  <cacheSource type="worksheet">
    <worksheetSource name="Tabela8"/>
  </cacheSource>
  <cacheFields count="22">
    <cacheField name="PERITO" numFmtId="0">
      <sharedItems count="4">
        <s v="CARLOS EDUARDO DE LIMA JUNIOR"/>
        <s v="ALLISSON MINATTI RAUPP "/>
        <s v="LUCAS CARLOS NEIS"/>
        <s v="EVERTON CARLOS BALBINOTTI"/>
      </sharedItems>
    </cacheField>
    <cacheField name="SINISTRO" numFmtId="0">
      <sharedItems containsSemiMixedTypes="0" containsString="0" containsNumber="1" containsInteger="1" minValue="2" maxValue="10" count="6">
        <n v="2"/>
        <n v="4"/>
        <n v="10"/>
        <n v="9"/>
        <n v="7"/>
        <n v="8"/>
      </sharedItems>
    </cacheField>
    <cacheField name="APOLICE" numFmtId="0">
      <sharedItems containsString="0" containsBlank="1" containsNumber="1" containsInteger="1" minValue="2" maxValue="121" count="3">
        <m/>
        <n v="121"/>
        <n v="2"/>
      </sharedItems>
    </cacheField>
    <cacheField name="DT VISTORIA" numFmtId="0">
      <sharedItems containsDate="1" containsMixedTypes="1" minDate="2021-03-04T00:00:00" maxDate="2021-04-04T00:00:00" count="5">
        <s v="17/02/2021"/>
        <s v="20/02/2021"/>
        <d v="2021-04-03T00:00:00"/>
        <s v="17/02/2022"/>
        <d v="2021-03-04T00:00:00"/>
      </sharedItems>
    </cacheField>
    <cacheField name="HONORÁRIO R$ " numFmtId="7">
      <sharedItems containsSemiMixedTypes="0" containsString="0" containsNumber="1" minValue="198.666666666667" maxValue="400" count="4">
        <n v="202"/>
        <n v="200"/>
        <n v="198.666666666667"/>
        <n v="400"/>
      </sharedItems>
    </cacheField>
    <cacheField name="VALOR KM R$" numFmtId="7">
      <sharedItems containsSemiMixedTypes="0" containsString="0" containsNumber="1" containsInteger="1" minValue="0" maxValue="20" count="3">
        <n v="0"/>
        <n v="12"/>
        <n v="20"/>
      </sharedItems>
    </cacheField>
    <cacheField name="HOTEL" numFmtId="7">
      <sharedItems containsSemiMixedTypes="0" containsString="0" containsNumber="1" minValue="0" maxValue="10" count="3">
        <n v="0"/>
        <n v="10"/>
        <n v="3.3333333333333401"/>
      </sharedItems>
    </cacheField>
    <cacheField name="REFEIÇÃO" numFmtId="7">
      <sharedItems containsSemiMixedTypes="0" containsString="0" containsNumber="1" minValue="0" maxValue="50" count="4">
        <n v="0"/>
        <n v="10"/>
        <n v="13.3333333333333"/>
        <n v="50"/>
      </sharedItems>
    </cacheField>
    <cacheField name="PEDÁGIO " numFmtId="7">
      <sharedItems containsString="0" containsBlank="1" containsNumber="1" containsInteger="1" minValue="10" maxValue="10" count="2">
        <n v="10"/>
        <m/>
      </sharedItems>
    </cacheField>
    <cacheField name="PASSAGEM ÁERA" numFmtId="7">
      <sharedItems containsString="0" containsBlank="1" containsNumber="1" containsInteger="1" minValue="0" maxValue="0" count="2">
        <n v="0"/>
        <m/>
      </sharedItems>
    </cacheField>
    <cacheField name="ALUGUEL CARRO" numFmtId="7">
      <sharedItems containsString="0" containsBlank="1" containsNumber="1" containsInteger="1" minValue="0" maxValue="0" count="2">
        <n v="0"/>
        <m/>
      </sharedItems>
    </cacheField>
    <cacheField name="OUTROS " numFmtId="7">
      <sharedItems containsSemiMixedTypes="0" containsString="0" containsNumber="1" minValue="0" maxValue="10" count="3">
        <n v="0"/>
        <n v="10"/>
        <n v="3.3333333333333401"/>
      </sharedItems>
    </cacheField>
    <cacheField name="TOTAL " numFmtId="7">
      <sharedItems containsSemiMixedTypes="0" containsString="0" containsNumber="1" containsInteger="1" minValue="212" maxValue="474" count="5">
        <n v="212"/>
        <n v="244"/>
        <n v="234"/>
        <n v="252"/>
        <n v="474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  <fieldGroup par="21" base="13">
        <rangePr groupBy="days" startDate="2021-02-28T00:00:00" endDate="2021-03-05T00:00:00"/>
        <groupItems count="368">
          <s v="&lt;28/02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5/03/2021"/>
        </groupItems>
      </fieldGroup>
    </cacheField>
    <cacheField name="TIPO" numFmtId="0">
      <sharedItems count="2">
        <s v="Penhor"/>
        <s v="Pericia"/>
      </sharedItems>
    </cacheField>
    <cacheField name="STATUS" numFmtId="0">
      <sharedItems count="2">
        <s v="Aberto"/>
        <s v="Parcial"/>
      </sharedItems>
    </cacheField>
    <cacheField name="DT RECEBIMENTO" numFmtId="14">
      <sharedItems containsSemiMixedTypes="0" containsNonDate="0" containsDate="1" containsString="0" minDate="2021-03-03T00:00:00" maxDate="2021-03-06T00:00:00" count="3">
        <d v="2021-03-03T00:00:00"/>
        <d v="2021-03-05T00:00:00"/>
        <d v="2021-03-04T00:00:00"/>
      </sharedItems>
    </cacheField>
    <cacheField name="SEGURADORA" numFmtId="0">
      <sharedItems count="3">
        <s v="ALLIANZ"/>
        <s v="SWISS RE"/>
        <s v="SANCOR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7">
      <sharedItems containsSemiMixedTypes="0" containsString="0" containsNumber="1" containsInteger="1" minValue="0" maxValue="474" count="8">
        <n v="212"/>
        <n v="244"/>
        <n v="134"/>
        <n v="252"/>
        <n v="474"/>
        <n v="84"/>
        <n v="0" u="1"/>
        <n v="234" u="1"/>
      </sharedItems>
    </cacheField>
    <cacheField name="Obs" numFmtId="0">
      <sharedItems containsBlank="1"/>
    </cacheField>
    <cacheField name="Meses" numFmtId="0" databaseField="0">
      <fieldGroup base="13">
        <rangePr groupBy="months" startDate="2021-02-28T00:00:00" endDate="2021-03-05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3/2021"/>
        </groupItems>
      </fieldGroup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0"/>
    <x v="0"/>
    <x v="1"/>
    <x v="1"/>
    <x v="1"/>
    <x v="0"/>
    <x v="1"/>
    <x v="0"/>
    <x v="1"/>
    <x v="0"/>
    <x v="1"/>
    <x v="1"/>
  </r>
  <r>
    <x v="1"/>
    <x v="2"/>
    <x v="0"/>
    <x v="2"/>
    <x v="2"/>
    <x v="2"/>
    <x v="0"/>
    <x v="1"/>
    <x v="1"/>
    <x v="1"/>
    <x v="1"/>
    <x v="0"/>
    <x v="2"/>
    <x v="1"/>
    <x v="1"/>
    <x v="0"/>
    <x v="2"/>
    <x v="2"/>
  </r>
  <r>
    <x v="0"/>
    <x v="3"/>
    <x v="0"/>
    <x v="1"/>
    <x v="3"/>
    <x v="1"/>
    <x v="0"/>
    <x v="0"/>
    <x v="1"/>
    <x v="1"/>
    <x v="1"/>
    <x v="0"/>
    <x v="1"/>
    <x v="0"/>
    <x v="1"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"/>
    <x v="0"/>
    <m/>
    <m/>
    <x v="0"/>
    <x v="0"/>
    <x v="0"/>
    <x v="0"/>
    <s v="Incendio"/>
    <s v="CARLOS EDUARDO DE LIMA JUNIOR"/>
    <n v="101"/>
    <n v="10"/>
    <n v="0"/>
    <n v="10"/>
    <n v="0"/>
    <n v="0"/>
    <n v="0"/>
    <n v="0"/>
    <n v="0"/>
    <n v="111"/>
    <s v="ALLIANZ"/>
    <s v="Aberto"/>
    <s v="Aberto"/>
    <s v="Equipamentos"/>
    <d v="2021-02-28T00:00:00"/>
    <n v="10"/>
    <n v="0"/>
    <x v="0"/>
    <n v="202"/>
    <n v="212"/>
    <m/>
    <m/>
    <m/>
    <m/>
    <m/>
  </r>
  <r>
    <x v="1"/>
    <m/>
    <x v="1"/>
    <m/>
    <m/>
    <x v="1"/>
    <x v="1"/>
    <x v="0"/>
    <x v="0"/>
    <s v="Roubo"/>
    <s v="BEATRIZ ALVES MIRA"/>
    <m/>
    <m/>
    <m/>
    <m/>
    <m/>
    <m/>
    <m/>
    <m/>
    <m/>
    <m/>
    <s v="SWISS RE"/>
    <s v="Aberto"/>
    <s v="Aberto"/>
    <s v="Equipamentos"/>
    <d v="2021-02-28T00:00:00"/>
    <m/>
    <m/>
    <x v="1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d v="2021-04-03T00:00:00"/>
    <n v="112"/>
    <x v="0"/>
    <n v="2"/>
    <n v="1"/>
    <x v="0"/>
    <s v="teste"/>
    <x v="0"/>
    <x v="0"/>
    <m/>
    <s v="Soja "/>
    <s v="ALLISSON MINATTI RAUPP "/>
    <s v="Preliminar"/>
    <n v="12"/>
    <s v="10,00"/>
    <s v="SWISS RE"/>
    <n v="135"/>
    <n v="10"/>
    <n v="12"/>
    <n v="10"/>
    <n v="12"/>
    <n v="0"/>
    <n v="50"/>
    <n v="0"/>
    <n v="197"/>
    <s v="28/02/2021"/>
    <s v="Aberto"/>
    <s v="Aberto"/>
    <x v="0"/>
    <n v="400"/>
    <n v="474"/>
  </r>
  <r>
    <x v="1"/>
    <x v="1"/>
    <s v="18/02/2021"/>
    <n v="2"/>
    <x v="1"/>
    <n v="3"/>
    <n v="1"/>
    <x v="1"/>
    <s v="teste"/>
    <x v="1"/>
    <x v="0"/>
    <m/>
    <s v="Soja "/>
    <s v="CARLOS EDUARDO DE LIMA JUNIOR"/>
    <s v="Preliminar/Final"/>
    <n v="10"/>
    <s v="10,00"/>
    <s v="NEWE"/>
    <n v="103"/>
    <n v="10"/>
    <n v="13"/>
    <n v="10"/>
    <n v="13"/>
    <n v="0"/>
    <n v="0"/>
    <n v="0"/>
    <n v="116"/>
    <s v="28/02/2021"/>
    <s v="Aberto"/>
    <s v="Aberto"/>
    <x v="1"/>
    <n v="203"/>
    <n v="229"/>
  </r>
  <r>
    <x v="2"/>
    <x v="2"/>
    <d v="2021-03-04T00:00:00"/>
    <n v="111"/>
    <x v="2"/>
    <n v="1"/>
    <n v="1"/>
    <x v="2"/>
    <s v="teste"/>
    <x v="1"/>
    <x v="0"/>
    <m/>
    <s v="Soja "/>
    <s v="EMERSON DE LIMA "/>
    <s v="Preliminar"/>
    <n v="10"/>
    <s v="10,00"/>
    <s v="SANCOR"/>
    <n v="250"/>
    <n v="10"/>
    <n v="12"/>
    <n v="0"/>
    <n v="0"/>
    <n v="0"/>
    <n v="0"/>
    <n v="0"/>
    <n v="262"/>
    <d v="2021-04-03T00:00:00"/>
    <s v="Aberto"/>
    <s v="Aberto"/>
    <x v="2"/>
    <n v="450"/>
    <n v="462"/>
  </r>
  <r>
    <x v="2"/>
    <x v="3"/>
    <m/>
    <m/>
    <x v="3"/>
    <n v="2"/>
    <n v="152"/>
    <x v="3"/>
    <s v="teste"/>
    <x v="1"/>
    <x v="0"/>
    <m/>
    <s v="Milho"/>
    <s v="EVERTON CARLOS BALBINOTTI"/>
    <m/>
    <n v="10"/>
    <m/>
    <s v="SANCOR"/>
    <n v="250"/>
    <n v="10"/>
    <n v="12"/>
    <n v="0"/>
    <n v="0"/>
    <n v="0"/>
    <n v="0"/>
    <n v="0"/>
    <n v="262"/>
    <d v="2021-04-03T00:00:00"/>
    <s v="Aberto"/>
    <s v="Aberto"/>
    <x v="3"/>
    <m/>
    <m/>
  </r>
  <r>
    <x v="2"/>
    <x v="2"/>
    <d v="2021-03-04T00:00:00"/>
    <n v="3"/>
    <x v="4"/>
    <n v="121"/>
    <n v="112"/>
    <x v="4"/>
    <s v="rtw"/>
    <x v="0"/>
    <x v="0"/>
    <m/>
    <s v="Milho"/>
    <s v="LUCAS CARLOS NEIS"/>
    <s v="Preliminar/Final"/>
    <n v="10"/>
    <s v="10,00"/>
    <s v="SANCOR"/>
    <n v="150"/>
    <n v="10"/>
    <n v="12"/>
    <n v="10"/>
    <n v="12"/>
    <n v="0"/>
    <n v="10"/>
    <n v="0"/>
    <n v="172"/>
    <d v="2021-04-03T00:00:00"/>
    <s v="Aberto"/>
    <s v="Aberto"/>
    <x v="3"/>
    <n v="200"/>
    <n v="23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1"/>
    <m/>
  </r>
  <r>
    <x v="2"/>
    <x v="2"/>
    <x v="1"/>
    <x v="2"/>
    <x v="1"/>
    <x v="1"/>
    <x v="0"/>
    <x v="1"/>
    <x v="1"/>
    <x v="1"/>
    <x v="1"/>
    <x v="0"/>
    <x v="2"/>
    <x v="1"/>
    <x v="1"/>
    <x v="1"/>
    <x v="1"/>
    <x v="2"/>
    <x v="1"/>
    <x v="2"/>
    <s v="ui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3"/>
    <m/>
  </r>
  <r>
    <x v="3"/>
    <x v="4"/>
    <x v="2"/>
    <x v="2"/>
    <x v="3"/>
    <x v="1"/>
    <x v="0"/>
    <x v="3"/>
    <x v="1"/>
    <x v="1"/>
    <x v="1"/>
    <x v="0"/>
    <x v="4"/>
    <x v="1"/>
    <x v="1"/>
    <x v="0"/>
    <x v="2"/>
    <x v="2"/>
    <x v="2"/>
    <x v="4"/>
    <m/>
  </r>
  <r>
    <x v="2"/>
    <x v="5"/>
    <x v="1"/>
    <x v="4"/>
    <x v="1"/>
    <x v="1"/>
    <x v="0"/>
    <x v="1"/>
    <x v="1"/>
    <x v="1"/>
    <x v="1"/>
    <x v="0"/>
    <x v="2"/>
    <x v="1"/>
    <x v="1"/>
    <x v="1"/>
    <x v="1"/>
    <x v="2"/>
    <x v="1"/>
    <x v="5"/>
    <s v="teste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6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3">
    <pivotField axis="axisRow" compact="0" outline="0" showAll="0" sortType="ascending" defaultSubtotal="0">
      <items count="5">
        <item x="1"/>
        <item x="0"/>
        <item m="1" x="4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h="1" m="1" x="4"/>
        <item h="1" m="1" x="7"/>
        <item h="1" m="1" x="5"/>
        <item h="1" x="3"/>
        <item h="1" x="1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0">
        <item m="1" x="8"/>
        <item x="1"/>
        <item m="1" x="6"/>
        <item m="1" x="7"/>
        <item m="1" x="9"/>
        <item m="1" x="5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7">
        <item x="1"/>
        <item x="0"/>
        <item m="1" x="6"/>
        <item m="1" x="5"/>
        <item m="1" x="4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15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8" firstHeaderRow="1" firstDataRow="1" firstDataCol="7"/>
  <pivotFields count="36">
    <pivotField axis="axisRow" compact="0" numFmtId="14" outline="0" showAll="0" sortType="ascending" defaultSubtotal="0">
      <items count="7">
        <item m="1" x="6"/>
        <item m="1" x="4"/>
        <item m="1" x="3"/>
        <item x="1"/>
        <item x="0"/>
        <item m="1" x="5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8">
        <item m="1" x="4"/>
        <item m="1" x="7"/>
        <item m="1" x="3"/>
        <item x="0"/>
        <item m="1" x="6"/>
        <item m="1" x="5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6">
        <item m="1" x="2"/>
        <item m="1" x="5"/>
        <item x="0"/>
        <item x="1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2">
    <i>
      <x v="3"/>
      <x v="6"/>
      <x v="2"/>
      <x v="1"/>
      <x v="1"/>
      <x v="3"/>
      <x v="3"/>
    </i>
    <i>
      <x v="4"/>
      <x v="3"/>
      <x v="1"/>
      <x v="1"/>
      <x v="1"/>
      <x v="2"/>
      <x v="2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2" cacheId="188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3:T9" firstHeaderRow="1" firstDataRow="1" firstDataCol="20"/>
  <pivotFields count="22">
    <pivotField axis="axisRow" compact="0" outline="0" showAll="0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4"/>
        <item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3"/>
        <item x="1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m="1" x="7"/>
        <item x="4"/>
        <item x="0"/>
        <item x="1"/>
        <item x="3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0"/>
    <field x="18"/>
    <field x="3"/>
    <field x="1"/>
    <field x="2"/>
    <field x="4"/>
    <field x="5"/>
    <field x="6"/>
    <field x="7"/>
    <field x="8"/>
    <field x="9"/>
    <field x="10"/>
    <field x="11"/>
    <field x="12"/>
    <field x="19"/>
    <field x="13"/>
    <field x="14"/>
    <field x="15"/>
    <field x="16"/>
    <field x="17"/>
  </rowFields>
  <rowItems count="6">
    <i>
      <x/>
      <x v="2"/>
      <x v="2"/>
      <x v="1"/>
      <x v="2"/>
      <x v="1"/>
      <x v="1"/>
      <x v="2"/>
      <x/>
      <x v="1"/>
      <x v="1"/>
      <x v="1"/>
      <x v="2"/>
      <x v="2"/>
      <x v="4"/>
      <x v="59"/>
      <x v="1"/>
      <x/>
      <x/>
      <x v="2"/>
    </i>
    <i>
      <x v="1"/>
      <x v="2"/>
      <x/>
      <x/>
      <x v="2"/>
      <x v="2"/>
      <x/>
      <x/>
      <x/>
      <x/>
      <x/>
      <x/>
      <x/>
      <x/>
      <x v="3"/>
      <x v="59"/>
      <x/>
      <x/>
      <x/>
      <x/>
    </i>
    <i r="2">
      <x v="1"/>
      <x v="4"/>
      <x v="2"/>
      <x/>
      <x v="2"/>
      <x v="1"/>
      <x v="2"/>
      <x/>
      <x/>
      <x/>
      <x v="1"/>
      <x v="3"/>
      <x v="5"/>
      <x v="59"/>
      <x/>
      <x/>
      <x/>
      <x/>
    </i>
    <i>
      <x v="2"/>
      <x v="1"/>
      <x v="4"/>
      <x v="2"/>
      <x/>
      <x v="3"/>
      <x v="1"/>
      <x/>
      <x v="3"/>
      <x v="1"/>
      <x v="1"/>
      <x v="1"/>
      <x/>
      <x v="4"/>
      <x v="2"/>
      <x v="64"/>
      <x v="1"/>
      <x/>
      <x v="1"/>
      <x v="1"/>
    </i>
    <i>
      <x v="3"/>
      <x/>
      <x v="3"/>
      <x v="3"/>
      <x v="1"/>
      <x v="1"/>
      <x v="1"/>
      <x/>
      <x v="1"/>
      <x v="1"/>
      <x v="1"/>
      <x v="1"/>
      <x/>
      <x v="1"/>
      <x v="7"/>
      <x v="64"/>
      <x v="1"/>
      <x v="1"/>
      <x v="2"/>
      <x v="1"/>
    </i>
    <i r="2">
      <x v="4"/>
      <x v="5"/>
      <x v="1"/>
      <x v="1"/>
      <x v="1"/>
      <x/>
      <x v="1"/>
      <x v="1"/>
      <x v="1"/>
      <x v="1"/>
      <x/>
      <x v="1"/>
      <x v="6"/>
      <x v="64"/>
      <x v="1"/>
      <x v="1"/>
      <x v="2"/>
      <x v="1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2" cacheId="68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3:R7" firstHeaderRow="1" firstDataRow="1" firstDataCol="18"/>
  <pivotFields count="20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</rowFields>
  <rowItems count="4">
    <i>
      <x/>
      <x/>
      <x/>
      <x/>
      <x/>
      <x/>
      <x/>
      <x/>
      <x/>
      <x/>
      <x/>
      <x/>
      <x/>
      <x v="59"/>
      <x/>
      <x/>
      <x v="59"/>
      <x/>
    </i>
    <i r="1">
      <x v="1"/>
      <x/>
      <x v="1"/>
      <x v="1"/>
      <x v="2"/>
      <x/>
      <x/>
      <x v="1"/>
      <x v="1"/>
      <x v="1"/>
      <x/>
      <x v="1"/>
      <x v="59"/>
      <x v="1"/>
      <x/>
      <x/>
      <x v="1"/>
    </i>
    <i r="1">
      <x v="2"/>
      <x/>
      <x v="1"/>
      <x v="2"/>
      <x v="2"/>
      <x/>
      <x/>
      <x v="1"/>
      <x v="1"/>
      <x v="1"/>
      <x/>
      <x v="1"/>
      <x v="59"/>
      <x v="1"/>
      <x/>
      <x v="62"/>
      <x v="1"/>
    </i>
    <i>
      <x v="1"/>
      <x v="3"/>
      <x/>
      <x v="2"/>
      <x v="3"/>
      <x v="1"/>
      <x/>
      <x v="1"/>
      <x v="1"/>
      <x v="1"/>
      <x v="1"/>
      <x/>
      <x v="2"/>
      <x v="64"/>
      <x v="1"/>
      <x/>
      <x v="62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2"/>
  </pivotTables>
  <data>
    <tabular pivotCacheId="2036691246">
      <items count="4">
        <i x="1" s="1"/>
        <i x="0" s="1"/>
        <i x="3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2"/>
  </pivotTables>
  <data>
    <tabular pivotCacheId="2036691246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2"/>
  </pivotTables>
  <data>
    <tabular pivotCacheId="2036691246">
      <items count="3">
        <i x="0" s="1"/>
        <i x="2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2"/>
  </pivotTables>
  <data>
    <tabular pivotCacheId="1193964075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2"/>
  </pivotTables>
  <data>
    <tabular pivotCacheId="1193964075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2"/>
  </pivotTables>
  <data>
    <tabular pivotCacheId="1193964075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2"/>
  </pivotTables>
  <data>
    <tabular pivotCacheId="1193964075">
      <items count="3">
        <i x="0" s="1"/>
        <i x="1" s="1"/>
        <i x="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2"/>
  </pivotTables>
  <data>
    <tabular pivotCacheId="2036691246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J3" totalsRowShown="0">
  <tableColumns count="36">
    <tableColumn id="1" xr3:uid="{4CEAFE11-4BD7-40FD-A919-BB52A3784B3A}" name="DT RECEBIMENTO" dataDxfId="78"/>
    <tableColumn id="2" xr3:uid="{8D491FBA-8D6E-4D68-9169-C6C807F705B7}" name="NF" dataDxfId="77"/>
    <tableColumn id="3" xr3:uid="{894BE3F1-C62B-4DDF-B040-E03CA1F61E2E}" name="DT VISTORIA " dataDxfId="76"/>
    <tableColumn id="4" xr3:uid="{3A5AA30B-7316-4054-B0A5-D3050BE0A17C}" name="DT REVISTORIA" dataDxfId="75"/>
    <tableColumn id="5" xr3:uid="{5762346C-BDE6-44E8-817C-91E54D27767E}" name="APÓLICE " dataDxfId="74"/>
    <tableColumn id="24" xr3:uid="{A430FF16-32B9-4825-820C-70015B1C820E}" name="SINISTRO" dataDxfId="73"/>
    <tableColumn id="6" xr3:uid="{1A60546F-FB43-46BD-B179-C75C28C7C994}" name="SEGURADO" dataDxfId="72"/>
    <tableColumn id="7" xr3:uid="{06FB21F9-D567-4FEB-B23F-94CC67035500}" name="MUNICIPIO " dataDxfId="71"/>
    <tableColumn id="8" xr3:uid="{F52919A1-EC7D-458F-BDD0-083E74A6B0AB}" name="UF" dataDxfId="70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9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8" dataCellStyle="Moeda"/>
    <tableColumn id="14" xr3:uid="{78FF7EDB-582E-42FD-9799-DD4D37C1C0BE}" name="HOTEL " dataDxfId="67" dataCellStyle="Moeda"/>
    <tableColumn id="15" xr3:uid="{B33CE678-346F-49DF-BDA4-44C123CB1EF8}" name="REFEIÇÃO " dataDxfId="66" dataCellStyle="Moeda"/>
    <tableColumn id="16" xr3:uid="{7E3D7E2A-6E12-4FB3-9C91-02FE40C27F4D}" name="PASSAGEM ÁERA" dataDxfId="65" dataCellStyle="Moeda"/>
    <tableColumn id="17" xr3:uid="{AFEBA063-285D-4E1F-BD7C-E0BB8AA9BFC3}" name="ALUGUEL CARRO " dataDxfId="64" dataCellStyle="Moeda"/>
    <tableColumn id="18" xr3:uid="{80376310-22C8-4669-BBCC-9445A8931644}" name="OUTROS " dataDxfId="63" dataCellStyle="Moeda"/>
    <tableColumn id="25" xr3:uid="{4338F209-0C34-4043-B3EF-73F4C9A9DD65}" name="TOTAL  " dataDxfId="62" dataCellStyle="Moeda"/>
    <tableColumn id="29" xr3:uid="{E0CE4C5D-9BCC-47F6-A2E2-F49599CE0090}" name="SEGURADORA" dataDxfId="61" dataCellStyle="Moeda"/>
    <tableColumn id="33" xr3:uid="{F8322728-BB10-40FA-8AB8-DAF0301387D8}" name="STATUS SEGURADORA" dataDxfId="60" dataCellStyle="Moeda"/>
    <tableColumn id="32" xr3:uid="{3C189627-5587-4747-A956-BF68E01F2C6F}" name="STATUS PERITO" dataDxfId="59" dataCellStyle="Moeda"/>
    <tableColumn id="35" xr3:uid="{6770BC5D-821D-4022-9E02-51C0CF6AF282}" name="TIPO DO BEM" dataDxfId="58" dataCellStyle="Moeda"/>
    <tableColumn id="34" xr3:uid="{1C80A2A2-BE52-4BB6-8774-903C65676CB5}" name="DT LANÇAMENTO " dataDxfId="57" dataCellStyle="Moeda"/>
    <tableColumn id="28" xr3:uid="{E07BC76D-0CFE-49DF-8CA9-85BBECE75005}" name="KM RODADO EMPRESA" dataDxfId="56" dataCellStyle="Moeda"/>
    <tableColumn id="30" xr3:uid="{30F79F53-5CD6-4EB9-94EF-A05E8F2343B6}" name="KM R$ EMPR" dataDxfId="55" dataCellStyle="Moeda"/>
    <tableColumn id="31" xr3:uid="{2380923C-36D4-4A7F-A0F6-18D6CC83AF87}" name="DT AGENDAMENTO" dataDxfId="54" dataCellStyle="Moeda"/>
    <tableColumn id="36" xr3:uid="{440922AD-B26B-45F7-845A-22AE6BCB39F0}" name="HONORARIO EMPRESA" dataDxfId="53" dataCellStyle="Moeda"/>
    <tableColumn id="19" xr3:uid="{6606E2F6-6FBE-42AD-B08C-73D5D56070BC}" name="TOTAL EMPRESA" dataDxfId="52" dataCellStyle="Moeda"/>
    <tableColumn id="20" xr3:uid="{11BA40E0-957A-4794-828F-30F9B20B83E4}" name="KM R$ EMPR2"/>
    <tableColumn id="27" xr3:uid="{B45D1A5B-3BB4-407A-A498-4AA20B08769B}" name="PAGTO PERITO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6" totalsRowShown="0">
  <tableColumns count="33">
    <tableColumn id="1" xr3:uid="{01FEB0E5-52BE-4347-BF57-CD16D27B937B}" name="DT RECEBIMENTO" dataDxfId="50"/>
    <tableColumn id="2" xr3:uid="{42D256E5-7905-43C7-B146-BAE1FF4F13EA}" name="DT VISTORIA" dataDxfId="49"/>
    <tableColumn id="3" xr3:uid="{BCCE59B5-8188-4C7C-95C2-715E226A28AA}" name="DT ENTREGA " dataDxfId="48"/>
    <tableColumn id="4" xr3:uid="{DD2FFDF0-7DCD-40B2-BE5B-713ED98D0855}" name="NF" dataDxfId="47"/>
    <tableColumn id="5" xr3:uid="{71C6BD3C-6436-486E-BD85-7935791CB966}" name="SINISTRO" dataDxfId="46"/>
    <tableColumn id="6" xr3:uid="{D289DEB5-E97A-4D43-B4F7-902CC070659C}" name="APÓLICE" dataDxfId="45"/>
    <tableColumn id="7" xr3:uid="{06DE9BC2-A40D-4D00-BB45-8E4F7789BE84}" name="PROPOSTA" dataDxfId="44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43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42"/>
    <tableColumn id="17" xr3:uid="{EE10B1C6-6DEE-4AD7-9D78-EC246389C2FB}" name="AREA VISTORIADA" dataDxfId="41"/>
    <tableColumn id="18" xr3:uid="{5ABE2B95-8B65-4067-B07B-961E86DF955C}" name="SEGURADORA" dataDxfId="40"/>
    <tableColumn id="19" xr3:uid="{D6D440C8-50F6-4EC7-BDE9-2DF3AA5771DF}" name="HONORÁRIO R$ " dataDxfId="39" dataCellStyle="Moeda"/>
    <tableColumn id="20" xr3:uid="{4AD21308-937E-4761-BA5D-93DFD5876314}" name="KM RODADO PERITO"/>
    <tableColumn id="21" xr3:uid="{81790E5F-9A10-4C4F-A097-2651C71B4AB6}" name="VALOR KM R$" dataDxfId="38" dataCellStyle="Moeda"/>
    <tableColumn id="22" xr3:uid="{D7762BF3-0B74-4974-8BBE-59556FD6DA92}" name="KM RODADO EMPRESA"/>
    <tableColumn id="23" xr3:uid="{57C0BB09-FF91-456C-B393-28ABAD52D8D9}" name="KM R$ EMPR" dataDxfId="37" dataCellStyle="Moeda"/>
    <tableColumn id="24" xr3:uid="{9C301590-1AAD-4F79-B66A-A6728FFFD7FC}" name="HOTEL" dataDxfId="36" dataCellStyle="Moeda"/>
    <tableColumn id="25" xr3:uid="{0B99CFC5-E242-496D-9958-804F0D1B521E}" name="REFEIÇÃO" dataDxfId="35" dataCellStyle="Moeda"/>
    <tableColumn id="26" xr3:uid="{2F92F6FA-422E-4D4B-BB4E-BA386F7AF1C0}" name="OUTROS " dataDxfId="34" dataCellStyle="Moeda"/>
    <tableColumn id="27" xr3:uid="{84553A7A-42D0-4471-AD1E-1A3BF4FEB1AD}" name="TOTAL " dataDxfId="33" dataCellStyle="Moeda"/>
    <tableColumn id="28" xr3:uid="{ED67970F-F0E5-46C6-98D9-1A7C91354E1F}" name="DT LANÇAMENTO " dataDxfId="32"/>
    <tableColumn id="30" xr3:uid="{E0E6AE81-E915-44EC-9FD2-4A51D8BDBF5F}" name="STATUS SEGURADORA" dataDxfId="31"/>
    <tableColumn id="31" xr3:uid="{59C15FF4-94BE-4937-A73B-D88AD2E6EEAE}" name="STATUS PERITO" dataDxfId="30"/>
    <tableColumn id="29" xr3:uid="{9ADDC96C-C7C9-4998-B013-EAD28F652506}" name="DT AGENDAMENTO" dataDxfId="29"/>
    <tableColumn id="32" xr3:uid="{568C3FE9-4939-413F-A6FC-4C8FB185C602}" name="HONORARIO EMPRESA"/>
    <tableColumn id="33" xr3:uid="{4CC820E2-94A2-41FC-A3CB-5A037A8EC99E}" name="TOTAL EMPRES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28"/>
    <tableColumn id="1" xr3:uid="{77AE40CE-3180-4CA9-AF9A-E8E268E57070}" name="HONORÁRIO R$ " dataDxfId="27" dataCellStyle="Moeda"/>
    <tableColumn id="2" xr3:uid="{6F9E0BA6-9BFB-48EC-81A9-18A0C396E8C9}" name="VALOR KM R$" dataDxfId="26" dataCellStyle="Moeda"/>
    <tableColumn id="3" xr3:uid="{EFD808ED-DC52-4A8B-8292-EEE34A3916AF}" name="HOTEL" dataDxfId="25" dataCellStyle="Moeda"/>
    <tableColumn id="4" xr3:uid="{BFA1101A-73FE-46DC-B3F1-F20D674333D9}" name="REFEIÇÃO" dataDxfId="24" dataCellStyle="Moeda"/>
    <tableColumn id="5" xr3:uid="{2AB446A3-0EB9-4068-9FF5-68786833A420}" name="PEDÁGIO " dataDxfId="23" dataCellStyle="Moeda"/>
    <tableColumn id="6" xr3:uid="{7C7FA53D-199C-4600-B839-1C253EB0843B}" name="PASSAGEM ÁERA" dataDxfId="22" dataCellStyle="Moeda"/>
    <tableColumn id="7" xr3:uid="{5487AAEC-0686-4909-95E7-E3F065BAE407}" name="ALUGUEL CARRO " dataDxfId="21" dataCellStyle="Moeda"/>
    <tableColumn id="8" xr3:uid="{6E97A9B3-7F8F-4AD1-A51A-8D0518668E1F}" name="OUTROS " dataDxfId="20" dataCellStyle="Moeda"/>
    <tableColumn id="9" xr3:uid="{345BE897-50CE-4CAF-9542-ACF3BDCA9A38}" name=" TOTAL " dataDxfId="19" dataCellStyle="Moeda"/>
    <tableColumn id="10" xr3:uid="{C5ADE4FF-938E-41F2-9268-65D68FC97B10}" name="DT LANCAMENTO" dataDxfId="18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U7" totalsRowShown="0">
  <tableColumns count="21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7"/>
    <tableColumn id="5" xr3:uid="{FC594FDD-E27C-412B-BCBC-53D7FF856FF3}" name="HONORÁRIO R$ " dataDxfId="16" dataCellStyle="Moeda"/>
    <tableColumn id="6" xr3:uid="{CE20EE4A-66EF-49C9-8277-0F91D4EAE8A0}" name="VALOR KM R$" dataDxfId="15" dataCellStyle="Moeda"/>
    <tableColumn id="7" xr3:uid="{5DDDE08F-D634-4BC9-9259-00A68BBAA7A0}" name="HOTEL" dataDxfId="14" dataCellStyle="Moeda"/>
    <tableColumn id="8" xr3:uid="{3303D9EF-E342-45CF-8457-EB7BFC724009}" name="REFEIÇÃO" dataDxfId="13" dataCellStyle="Moeda"/>
    <tableColumn id="9" xr3:uid="{C7166C86-DE25-480F-BF56-18061E37717C}" name="PEDÁGIO " dataDxfId="12" dataCellStyle="Moeda"/>
    <tableColumn id="10" xr3:uid="{79AD7756-F982-40B3-A840-1D887EDE4D08}" name="PASSAGEM ÁERA" dataDxfId="11" dataCellStyle="Moeda"/>
    <tableColumn id="11" xr3:uid="{763DF7A8-12FD-414C-A335-DD672F61971C}" name="ALUGUEL CARRO" dataDxfId="10" dataCellStyle="Moeda"/>
    <tableColumn id="12" xr3:uid="{D92A590C-1934-4CF3-9A88-FDA9781B8EC9}" name="OUTROS " dataDxfId="9" dataCellStyle="Moeda"/>
    <tableColumn id="13" xr3:uid="{3ED0E5F1-62E9-4527-B42C-2B2CF57B6AD4}" name="TOTAL " dataDxfId="8" dataCellStyle="Moeda"/>
    <tableColumn id="14" xr3:uid="{2EB34EF3-4C41-4099-9921-DB8E920647FC}" name="DT LANCAMENTO" dataDxfId="7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6" dataCellStyle="Moeda"/>
    <tableColumn id="16" xr3:uid="{05E773C7-4F15-422B-8F54-364EAE748468}" name="Ob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5"/>
    <tableColumn id="3" xr3:uid="{0354E08F-99E4-4602-A856-87F2606D5542}" name="ENDEREÇO"/>
    <tableColumn id="4" xr3:uid="{791EB34D-33AD-4D81-9993-B97ED301BA3B}" name="KM R$" dataDxfId="4" dataCellStyle="Moeda"/>
    <tableColumn id="5" xr3:uid="{605420F8-6CFD-43FC-98CD-F68974D03019}" name="REFEIÇÃO R$" dataDxfId="3" dataCellStyle="Moeda"/>
    <tableColumn id="6" xr3:uid="{E406B1A8-FE43-4F46-B098-C8F386E557B1}" name="HOSPEDAGEM R$" dataDxfId="2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1">
  <autoFilter ref="A1:E25" xr:uid="{2EFAC822-781E-49A7-9E37-807F9A11773B}"/>
  <tableColumns count="5">
    <tableColumn id="1" xr3:uid="{37F6DF33-7318-454A-B809-8D15C227E196}" name="NOME" dataDxfId="0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" xr10:uid="{BF1DF7F2-D274-476B-816B-C59D9D4A1177}" sourceName="DT LANCAMENTO">
  <pivotTables>
    <pivotTable tabId="23" name="Tabela dinâmica2"/>
  </pivotTables>
  <state minimalRefreshVersion="6" lastRefreshVersion="6" pivotCacheId="2036691246" filterType="unknown">
    <bounds startDate="2021-01-01T00:00:00" endDate="2022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1" xr10:uid="{4D7C4936-A202-4DC8-860A-CA01C08E7B0C}" sourceName="DT LANCAMENTO">
  <pivotTables>
    <pivotTable tabId="24" name="Tabela dinâmica2"/>
  </pivotTables>
  <state minimalRefreshVersion="6" lastRefreshVersion="6" pivotCacheId="1193964075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 2" xr10:uid="{05479779-3392-42F6-A677-CFD8AF460DCE}" cache="NativeTimeline_DT_LANCAMENTO" caption="DT LANCAMENTO" level="2" selectionLevel="2" scrollPosition="2021-05-19T00:00:00" style="TimeSlicerStyleLight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" xr10:uid="{83402B63-8C7B-4FA1-A84E-9CBD5B9FC3AD}" cache="NativeTimeline_DT_LANCAMENTO" caption="DT LANCAMENTO" level="2" selectionLevel="2" scrollPosition="2021-05-19T00:00:00" style="TimeSlicerStyleLight6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 1" xr10:uid="{C7357207-3D12-48C2-BAC7-A7C132934840}" cache="NativeTimeline_DT_LANCAMENTO1" caption="DT LANCAMENTO" level="2" selectionLevel="2" scrollPosition="2021-05-19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1/relationships/timeline" Target="../timelines/timeline3.xml"/><Relationship Id="rId2" Type="http://schemas.microsoft.com/office/2007/relationships/slicer" Target="../slicers/slicer3.x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Q2" sqref="Q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8"/>
  <sheetViews>
    <sheetView showGridLines="0" zoomScaleNormal="100" workbookViewId="0">
      <selection activeCell="J7" sqref="J7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56" t="s">
        <v>133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15"/>
      <c r="P2" s="15"/>
      <c r="Q2" s="15"/>
      <c r="R2" s="15"/>
    </row>
    <row r="4" spans="1:18" ht="21" x14ac:dyDescent="0.35">
      <c r="A4" s="57" t="s">
        <v>113</v>
      </c>
      <c r="B4" s="57"/>
      <c r="C4" s="57"/>
      <c r="D4" s="57"/>
      <c r="E4" s="57"/>
      <c r="F4" s="57"/>
      <c r="G4" s="57"/>
      <c r="I4" s="57" t="s">
        <v>134</v>
      </c>
      <c r="J4" s="57"/>
      <c r="K4" s="57"/>
      <c r="L4" s="57"/>
      <c r="M4" s="57"/>
      <c r="N4" s="57"/>
      <c r="O4" s="57"/>
    </row>
    <row r="6" spans="1:18" x14ac:dyDescent="0.25">
      <c r="A6" s="24" t="s">
        <v>85</v>
      </c>
      <c r="B6" s="24" t="s">
        <v>52</v>
      </c>
      <c r="C6" s="24" t="s">
        <v>47</v>
      </c>
      <c r="D6" s="24" t="s">
        <v>48</v>
      </c>
      <c r="E6" s="24" t="s">
        <v>49</v>
      </c>
      <c r="F6" s="24" t="s">
        <v>45</v>
      </c>
      <c r="G6" s="24" t="s">
        <v>135</v>
      </c>
      <c r="I6" s="24" t="s">
        <v>85</v>
      </c>
      <c r="J6" s="24" t="s">
        <v>52</v>
      </c>
      <c r="K6" s="24" t="s">
        <v>47</v>
      </c>
      <c r="L6" s="24" t="s">
        <v>48</v>
      </c>
      <c r="M6" s="24" t="s">
        <v>49</v>
      </c>
      <c r="N6" s="24" t="s">
        <v>88</v>
      </c>
      <c r="O6" s="24" t="s">
        <v>135</v>
      </c>
    </row>
    <row r="7" spans="1:18" x14ac:dyDescent="0.25">
      <c r="A7" s="1">
        <v>44242</v>
      </c>
      <c r="B7" s="5">
        <v>1</v>
      </c>
      <c r="C7" s="34" t="s">
        <v>299</v>
      </c>
      <c r="D7" s="34" t="s">
        <v>29</v>
      </c>
      <c r="E7" s="34" t="s">
        <v>16</v>
      </c>
      <c r="F7" s="34" t="s">
        <v>116</v>
      </c>
      <c r="G7" s="1">
        <v>44243</v>
      </c>
    </row>
    <row r="8" spans="1:18" x14ac:dyDescent="0.25">
      <c r="A8" s="1">
        <v>44243</v>
      </c>
      <c r="B8" s="5">
        <v>2</v>
      </c>
      <c r="C8" s="34" t="s">
        <v>300</v>
      </c>
      <c r="D8" s="34" t="s">
        <v>29</v>
      </c>
      <c r="E8" s="34" t="s">
        <v>16</v>
      </c>
      <c r="F8" s="34" t="s">
        <v>303</v>
      </c>
      <c r="G8" s="1">
        <v>44244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L3"/>
  <sheetViews>
    <sheetView workbookViewId="0">
      <selection activeCell="A4" sqref="A4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5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0" bestFit="1" customWidth="1"/>
    <col min="13" max="13" width="9.85546875" bestFit="1" customWidth="1"/>
    <col min="14" max="14" width="12.5703125" bestFit="1" customWidth="1"/>
    <col min="15" max="15" width="16" style="10" bestFit="1" customWidth="1"/>
    <col min="16" max="16" width="13.42578125" style="10" bestFit="1" customWidth="1"/>
    <col min="17" max="17" width="16.42578125" style="10" bestFit="1" customWidth="1"/>
    <col min="18" max="18" width="22.42578125" style="10" bestFit="1" customWidth="1"/>
    <col min="19" max="19" width="23" style="10" bestFit="1" customWidth="1"/>
    <col min="20" max="20" width="15.28515625" style="10" bestFit="1" customWidth="1"/>
    <col min="21" max="22" width="15.28515625" style="10" customWidth="1"/>
    <col min="23" max="23" width="22" style="10" customWidth="1"/>
    <col min="24" max="29" width="15.28515625" style="10" customWidth="1"/>
    <col min="30" max="30" width="22.42578125" style="10" customWidth="1"/>
    <col min="31" max="31" width="21.5703125" style="10" bestFit="1" customWidth="1"/>
    <col min="32" max="32" width="22.140625" hidden="1" customWidth="1"/>
    <col min="33" max="33" width="14.140625" hidden="1" customWidth="1"/>
    <col min="34" max="34" width="20.42578125" hidden="1" customWidth="1"/>
    <col min="35" max="35" width="13.85546875" hidden="1" customWidth="1"/>
    <col min="36" max="36" width="16.5703125" style="8" hidden="1" customWidth="1"/>
    <col min="37" max="38" width="16.5703125" hidden="1" customWidth="1"/>
    <col min="39" max="16384" width="9.140625" hidden="1"/>
  </cols>
  <sheetData>
    <row r="1" spans="1:36" s="3" customFormat="1" ht="30" customHeight="1" x14ac:dyDescent="0.25">
      <c r="A1" t="s">
        <v>85</v>
      </c>
      <c r="B1" t="s">
        <v>44</v>
      </c>
      <c r="C1" t="s">
        <v>45</v>
      </c>
      <c r="D1" t="s">
        <v>90</v>
      </c>
      <c r="E1" t="s">
        <v>46</v>
      </c>
      <c r="F1" t="s">
        <v>52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127</v>
      </c>
      <c r="M1" t="s">
        <v>128</v>
      </c>
      <c r="N1" t="s">
        <v>81</v>
      </c>
      <c r="O1" t="s">
        <v>119</v>
      </c>
      <c r="P1" t="s">
        <v>129</v>
      </c>
      <c r="Q1" t="s">
        <v>130</v>
      </c>
      <c r="R1" t="s">
        <v>100</v>
      </c>
      <c r="S1" t="s">
        <v>117</v>
      </c>
      <c r="T1" t="s">
        <v>67</v>
      </c>
      <c r="U1" t="s">
        <v>132</v>
      </c>
      <c r="V1" t="s">
        <v>86</v>
      </c>
      <c r="W1" t="s">
        <v>107</v>
      </c>
      <c r="X1" t="s">
        <v>108</v>
      </c>
      <c r="Y1" t="s">
        <v>126</v>
      </c>
      <c r="Z1" t="s">
        <v>98</v>
      </c>
      <c r="AA1" t="s">
        <v>63</v>
      </c>
      <c r="AB1" t="s">
        <v>64</v>
      </c>
      <c r="AC1" s="34" t="s">
        <v>135</v>
      </c>
      <c r="AD1" t="s">
        <v>278</v>
      </c>
      <c r="AE1" s="34" t="s">
        <v>279</v>
      </c>
      <c r="AF1" t="s">
        <v>125</v>
      </c>
      <c r="AG1" t="s">
        <v>105</v>
      </c>
      <c r="AH1" t="s">
        <v>43</v>
      </c>
      <c r="AI1" t="s">
        <v>87</v>
      </c>
      <c r="AJ1" t="s">
        <v>99</v>
      </c>
    </row>
    <row r="2" spans="1:36" x14ac:dyDescent="0.25">
      <c r="A2" s="1">
        <v>44243</v>
      </c>
      <c r="B2">
        <v>1</v>
      </c>
      <c r="C2" s="1" t="s">
        <v>303</v>
      </c>
      <c r="F2" s="5">
        <v>2</v>
      </c>
      <c r="G2" t="s">
        <v>300</v>
      </c>
      <c r="H2" t="s">
        <v>29</v>
      </c>
      <c r="I2" t="s">
        <v>16</v>
      </c>
      <c r="J2" t="s">
        <v>298</v>
      </c>
      <c r="K2" t="s">
        <v>139</v>
      </c>
      <c r="L2" s="19">
        <v>101</v>
      </c>
      <c r="M2">
        <v>10</v>
      </c>
      <c r="N2" s="35">
        <v>0</v>
      </c>
      <c r="O2" s="19">
        <v>10</v>
      </c>
      <c r="P2" s="19">
        <v>0</v>
      </c>
      <c r="Q2" s="19">
        <v>0</v>
      </c>
      <c r="R2" s="19">
        <v>0</v>
      </c>
      <c r="S2" s="19">
        <v>0</v>
      </c>
      <c r="T2" s="19">
        <v>0</v>
      </c>
      <c r="U2" s="19">
        <v>111</v>
      </c>
      <c r="V2" s="10" t="s">
        <v>286</v>
      </c>
      <c r="W2" s="10" t="s">
        <v>102</v>
      </c>
      <c r="X2" s="10" t="s">
        <v>102</v>
      </c>
      <c r="Y2" s="10" t="s">
        <v>71</v>
      </c>
      <c r="Z2" s="16">
        <v>44255</v>
      </c>
      <c r="AA2" s="19">
        <v>10</v>
      </c>
      <c r="AB2" s="19">
        <v>0</v>
      </c>
      <c r="AC2" s="16">
        <v>44244</v>
      </c>
      <c r="AD2" s="19">
        <v>202</v>
      </c>
      <c r="AE2" s="19">
        <v>212</v>
      </c>
    </row>
    <row r="3" spans="1:36" x14ac:dyDescent="0.25">
      <c r="A3" s="1">
        <v>44242</v>
      </c>
      <c r="B3" s="36"/>
      <c r="C3" s="36"/>
      <c r="D3" s="36"/>
      <c r="E3" s="36"/>
      <c r="F3" s="35">
        <v>1</v>
      </c>
      <c r="G3" s="36" t="s">
        <v>299</v>
      </c>
      <c r="H3" s="36" t="s">
        <v>29</v>
      </c>
      <c r="I3" s="36" t="s">
        <v>16</v>
      </c>
      <c r="J3" t="s">
        <v>297</v>
      </c>
      <c r="K3" t="s">
        <v>137</v>
      </c>
      <c r="V3" s="10" t="s">
        <v>281</v>
      </c>
      <c r="W3" s="10" t="s">
        <v>102</v>
      </c>
      <c r="X3" s="10" t="s">
        <v>102</v>
      </c>
      <c r="Y3" s="10" t="s">
        <v>71</v>
      </c>
      <c r="Z3" s="16">
        <v>44255</v>
      </c>
      <c r="AC3" s="16">
        <v>44243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6"/>
  <sheetViews>
    <sheetView topLeftCell="M1" workbookViewId="0">
      <selection activeCell="S5" sqref="S5:AA5"/>
    </sheetView>
  </sheetViews>
  <sheetFormatPr defaultRowHeight="15" x14ac:dyDescent="0.25"/>
  <cols>
    <col min="1" max="3" width="21.7109375" style="8" customWidth="1"/>
    <col min="4" max="6" width="21.7109375" style="6" customWidth="1"/>
    <col min="7" max="7" width="21.7109375" style="5" customWidth="1"/>
    <col min="8" max="10" width="21.7109375" customWidth="1"/>
    <col min="11" max="11" width="21.7109375" style="7" customWidth="1"/>
    <col min="12" max="15" width="21.7109375" customWidth="1"/>
    <col min="16" max="17" width="21.7109375" style="5" customWidth="1"/>
    <col min="18" max="18" width="21.7109375" style="37" customWidth="1"/>
    <col min="19" max="19" width="21.7109375" style="10" customWidth="1"/>
    <col min="20" max="20" width="21.7109375" customWidth="1"/>
    <col min="21" max="21" width="21.7109375" style="10" customWidth="1"/>
    <col min="22" max="22" width="23.28515625" customWidth="1"/>
    <col min="23" max="27" width="21.7109375" style="10" customWidth="1"/>
    <col min="28" max="28" width="21.7109375" style="8" customWidth="1"/>
    <col min="29" max="29" width="20.85546875" style="1" bestFit="1" customWidth="1"/>
    <col min="30" max="30" width="20.85546875" style="1" customWidth="1"/>
    <col min="31" max="31" width="18.42578125" bestFit="1" customWidth="1"/>
    <col min="32" max="32" width="21.42578125" bestFit="1" customWidth="1"/>
    <col min="33" max="33" width="15.5703125" bestFit="1" customWidth="1"/>
  </cols>
  <sheetData>
    <row r="1" spans="1:33" s="2" customFormat="1" ht="21.75" customHeight="1" x14ac:dyDescent="0.25">
      <c r="A1" t="s">
        <v>85</v>
      </c>
      <c r="B1" t="s">
        <v>88</v>
      </c>
      <c r="C1" t="s">
        <v>89</v>
      </c>
      <c r="D1" t="s">
        <v>44</v>
      </c>
      <c r="E1" t="s">
        <v>52</v>
      </c>
      <c r="F1" t="s">
        <v>53</v>
      </c>
      <c r="G1" t="s">
        <v>54</v>
      </c>
      <c r="H1" t="s">
        <v>47</v>
      </c>
      <c r="I1" t="s">
        <v>55</v>
      </c>
      <c r="J1" t="s">
        <v>48</v>
      </c>
      <c r="K1" t="s">
        <v>49</v>
      </c>
      <c r="L1" t="s">
        <v>56</v>
      </c>
      <c r="M1" t="s">
        <v>57</v>
      </c>
      <c r="N1" t="s">
        <v>51</v>
      </c>
      <c r="O1" t="s">
        <v>58</v>
      </c>
      <c r="P1" t="s">
        <v>59</v>
      </c>
      <c r="Q1" t="s">
        <v>60</v>
      </c>
      <c r="R1" s="37" t="s">
        <v>86</v>
      </c>
      <c r="S1" t="s">
        <v>118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131</v>
      </c>
      <c r="AB1" t="s">
        <v>98</v>
      </c>
      <c r="AC1" t="s">
        <v>107</v>
      </c>
      <c r="AD1" t="s">
        <v>108</v>
      </c>
      <c r="AE1" t="s">
        <v>135</v>
      </c>
      <c r="AF1" s="34" t="s">
        <v>278</v>
      </c>
      <c r="AG1" s="34" t="s">
        <v>279</v>
      </c>
    </row>
    <row r="2" spans="1:33" x14ac:dyDescent="0.25">
      <c r="A2" s="8" t="s">
        <v>305</v>
      </c>
      <c r="B2" s="8">
        <v>44289</v>
      </c>
      <c r="C2" s="8">
        <v>44289</v>
      </c>
      <c r="D2" s="6">
        <v>112</v>
      </c>
      <c r="E2" s="6">
        <v>4</v>
      </c>
      <c r="F2" s="6">
        <v>2</v>
      </c>
      <c r="G2" s="5">
        <v>1</v>
      </c>
      <c r="H2" t="s">
        <v>304</v>
      </c>
      <c r="I2" t="s">
        <v>295</v>
      </c>
      <c r="J2" t="s">
        <v>29</v>
      </c>
      <c r="K2" s="7" t="s">
        <v>16</v>
      </c>
      <c r="M2" t="s">
        <v>83</v>
      </c>
      <c r="N2" t="s">
        <v>136</v>
      </c>
      <c r="O2" t="s">
        <v>74</v>
      </c>
      <c r="P2" s="5">
        <v>12</v>
      </c>
      <c r="Q2" s="5" t="s">
        <v>277</v>
      </c>
      <c r="R2" s="37" t="s">
        <v>281</v>
      </c>
      <c r="S2" s="19">
        <v>135</v>
      </c>
      <c r="T2">
        <v>10</v>
      </c>
      <c r="U2" s="19">
        <v>12</v>
      </c>
      <c r="V2">
        <v>10</v>
      </c>
      <c r="W2" s="19">
        <v>12</v>
      </c>
      <c r="X2" s="19">
        <v>0</v>
      </c>
      <c r="Y2" s="19">
        <v>50</v>
      </c>
      <c r="Z2" s="19">
        <v>0</v>
      </c>
      <c r="AA2" s="19">
        <v>197</v>
      </c>
      <c r="AB2" s="8" t="s">
        <v>294</v>
      </c>
      <c r="AC2" s="1" t="s">
        <v>102</v>
      </c>
      <c r="AD2" s="1" t="s">
        <v>102</v>
      </c>
      <c r="AE2" t="s">
        <v>306</v>
      </c>
      <c r="AF2" s="35">
        <v>400</v>
      </c>
      <c r="AG2" s="35">
        <v>474</v>
      </c>
    </row>
    <row r="3" spans="1:33" x14ac:dyDescent="0.25">
      <c r="A3" s="8" t="s">
        <v>303</v>
      </c>
      <c r="B3" s="8" t="s">
        <v>301</v>
      </c>
      <c r="C3" s="8" t="s">
        <v>301</v>
      </c>
      <c r="D3" s="6">
        <v>2</v>
      </c>
      <c r="E3" s="6">
        <v>3</v>
      </c>
      <c r="F3" s="6">
        <v>3</v>
      </c>
      <c r="G3" s="5">
        <v>1</v>
      </c>
      <c r="H3" t="s">
        <v>302</v>
      </c>
      <c r="I3" t="s">
        <v>295</v>
      </c>
      <c r="J3" t="s">
        <v>28</v>
      </c>
      <c r="K3" s="7" t="s">
        <v>16</v>
      </c>
      <c r="M3" t="s">
        <v>83</v>
      </c>
      <c r="N3" t="s">
        <v>139</v>
      </c>
      <c r="O3" t="s">
        <v>82</v>
      </c>
      <c r="P3" s="5">
        <v>10</v>
      </c>
      <c r="Q3" s="5" t="s">
        <v>277</v>
      </c>
      <c r="R3" s="37" t="s">
        <v>280</v>
      </c>
      <c r="S3" s="19">
        <v>103</v>
      </c>
      <c r="T3">
        <v>10</v>
      </c>
      <c r="U3" s="19">
        <v>13</v>
      </c>
      <c r="V3">
        <v>10</v>
      </c>
      <c r="W3" s="19">
        <v>13</v>
      </c>
      <c r="X3" s="19">
        <v>0</v>
      </c>
      <c r="Y3" s="19">
        <v>0</v>
      </c>
      <c r="Z3" s="19">
        <v>0</v>
      </c>
      <c r="AA3" s="19">
        <v>116</v>
      </c>
      <c r="AB3" s="8" t="s">
        <v>294</v>
      </c>
      <c r="AC3" s="1" t="s">
        <v>102</v>
      </c>
      <c r="AD3" s="1" t="s">
        <v>102</v>
      </c>
      <c r="AE3" t="s">
        <v>301</v>
      </c>
      <c r="AF3" s="35">
        <v>203</v>
      </c>
      <c r="AG3" s="35">
        <v>229</v>
      </c>
    </row>
    <row r="4" spans="1:33" x14ac:dyDescent="0.25">
      <c r="A4" s="8">
        <v>44289</v>
      </c>
      <c r="B4" s="8">
        <v>44259</v>
      </c>
      <c r="C4" s="8">
        <v>44259</v>
      </c>
      <c r="D4" s="6">
        <v>111</v>
      </c>
      <c r="E4" s="6">
        <v>6</v>
      </c>
      <c r="F4" s="6">
        <v>1</v>
      </c>
      <c r="G4" s="5">
        <v>1</v>
      </c>
      <c r="H4" t="s">
        <v>311</v>
      </c>
      <c r="I4" t="s">
        <v>295</v>
      </c>
      <c r="J4" t="s">
        <v>28</v>
      </c>
      <c r="K4" s="33" t="s">
        <v>16</v>
      </c>
      <c r="M4" t="s">
        <v>83</v>
      </c>
      <c r="N4" t="s">
        <v>142</v>
      </c>
      <c r="O4" t="s">
        <v>74</v>
      </c>
      <c r="P4" s="5">
        <v>10</v>
      </c>
      <c r="Q4" s="5" t="s">
        <v>277</v>
      </c>
      <c r="R4" s="37" t="s">
        <v>282</v>
      </c>
      <c r="S4" s="19">
        <v>250</v>
      </c>
      <c r="T4">
        <v>10</v>
      </c>
      <c r="U4" s="19">
        <v>12</v>
      </c>
      <c r="V4">
        <v>0</v>
      </c>
      <c r="W4" s="19">
        <v>0</v>
      </c>
      <c r="X4" s="19">
        <v>0</v>
      </c>
      <c r="Y4" s="19">
        <v>0</v>
      </c>
      <c r="Z4" s="19">
        <v>0</v>
      </c>
      <c r="AA4" s="19">
        <v>262</v>
      </c>
      <c r="AB4" s="8">
        <v>44289</v>
      </c>
      <c r="AC4" s="1" t="s">
        <v>102</v>
      </c>
      <c r="AD4" s="1" t="s">
        <v>102</v>
      </c>
      <c r="AE4" s="8">
        <v>44319</v>
      </c>
      <c r="AF4" s="35">
        <v>450</v>
      </c>
      <c r="AG4" s="35">
        <v>462</v>
      </c>
    </row>
    <row r="5" spans="1:33" x14ac:dyDescent="0.25">
      <c r="A5" s="8">
        <v>44289</v>
      </c>
      <c r="E5" s="6">
        <v>7</v>
      </c>
      <c r="F5" s="6">
        <v>2</v>
      </c>
      <c r="G5" s="5">
        <v>152</v>
      </c>
      <c r="H5" t="s">
        <v>312</v>
      </c>
      <c r="I5" t="s">
        <v>295</v>
      </c>
      <c r="J5" t="s">
        <v>28</v>
      </c>
      <c r="K5" s="33" t="s">
        <v>16</v>
      </c>
      <c r="M5" t="s">
        <v>84</v>
      </c>
      <c r="N5" t="s">
        <v>143</v>
      </c>
      <c r="P5" s="5">
        <v>10</v>
      </c>
      <c r="R5" s="37" t="s">
        <v>282</v>
      </c>
      <c r="S5" s="19">
        <v>250</v>
      </c>
      <c r="T5" s="34">
        <v>10</v>
      </c>
      <c r="U5" s="19">
        <v>12</v>
      </c>
      <c r="V5" s="34">
        <v>0</v>
      </c>
      <c r="W5" s="19">
        <v>0</v>
      </c>
      <c r="X5" s="19">
        <v>0</v>
      </c>
      <c r="Y5" s="19">
        <v>0</v>
      </c>
      <c r="Z5" s="19">
        <v>0</v>
      </c>
      <c r="AA5" s="19">
        <v>262</v>
      </c>
      <c r="AB5" s="8">
        <v>44289</v>
      </c>
      <c r="AC5" s="1" t="s">
        <v>102</v>
      </c>
      <c r="AD5" s="1" t="s">
        <v>102</v>
      </c>
      <c r="AE5" s="8">
        <v>44289</v>
      </c>
    </row>
    <row r="6" spans="1:33" x14ac:dyDescent="0.25">
      <c r="A6" s="8">
        <v>44289</v>
      </c>
      <c r="B6" s="8">
        <v>44259</v>
      </c>
      <c r="C6" s="8">
        <v>44259</v>
      </c>
      <c r="D6" s="6">
        <v>3</v>
      </c>
      <c r="E6" s="6">
        <v>8</v>
      </c>
      <c r="F6" s="6">
        <v>121</v>
      </c>
      <c r="G6" s="5">
        <v>112</v>
      </c>
      <c r="H6" t="s">
        <v>314</v>
      </c>
      <c r="I6" t="s">
        <v>313</v>
      </c>
      <c r="J6" t="s">
        <v>29</v>
      </c>
      <c r="K6" s="33" t="s">
        <v>16</v>
      </c>
      <c r="M6" t="s">
        <v>84</v>
      </c>
      <c r="N6" t="s">
        <v>146</v>
      </c>
      <c r="O6" t="s">
        <v>82</v>
      </c>
      <c r="P6" s="5">
        <v>10</v>
      </c>
      <c r="Q6" s="5" t="s">
        <v>277</v>
      </c>
      <c r="R6" s="37" t="s">
        <v>282</v>
      </c>
      <c r="S6" s="19">
        <v>150</v>
      </c>
      <c r="T6">
        <v>10</v>
      </c>
      <c r="U6" s="19">
        <v>12</v>
      </c>
      <c r="V6">
        <v>10</v>
      </c>
      <c r="W6" s="19">
        <v>12</v>
      </c>
      <c r="X6" s="19">
        <v>0</v>
      </c>
      <c r="Y6" s="19">
        <v>10</v>
      </c>
      <c r="Z6" s="19">
        <v>0</v>
      </c>
      <c r="AA6" s="19">
        <v>172</v>
      </c>
      <c r="AB6" s="8">
        <v>44289</v>
      </c>
      <c r="AC6" s="1" t="s">
        <v>102</v>
      </c>
      <c r="AD6" s="1" t="s">
        <v>102</v>
      </c>
      <c r="AE6" s="8">
        <v>44289</v>
      </c>
      <c r="AF6" s="35">
        <v>200</v>
      </c>
      <c r="AG6" s="35">
        <v>234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26"/>
  <sheetViews>
    <sheetView showGridLines="0" showRowColHeaders="0" tabSelected="1" workbookViewId="0">
      <selection activeCell="L8" sqref="L8"/>
    </sheetView>
  </sheetViews>
  <sheetFormatPr defaultColWidth="0" defaultRowHeight="15" x14ac:dyDescent="0.25"/>
  <cols>
    <col min="1" max="2" width="9.140625" style="34" customWidth="1"/>
    <col min="3" max="3" width="11.7109375" style="34" bestFit="1" customWidth="1"/>
    <col min="4" max="20" width="9.140625" style="34" customWidth="1"/>
    <col min="21" max="16384" width="9.140625" style="34" hidden="1"/>
  </cols>
  <sheetData>
    <row r="1" spans="1:9" ht="39.75" customHeight="1" x14ac:dyDescent="0.25"/>
    <row r="2" spans="1:9" ht="15.75" x14ac:dyDescent="0.25">
      <c r="G2" s="67"/>
      <c r="H2" s="67"/>
      <c r="I2" s="67"/>
    </row>
    <row r="3" spans="1:9" x14ac:dyDescent="0.25">
      <c r="A3" s="71" t="s">
        <v>332</v>
      </c>
      <c r="B3" s="71"/>
      <c r="C3" s="68">
        <f>TbDinamicaReceber!X18</f>
        <v>1400</v>
      </c>
    </row>
    <row r="4" spans="1:9" x14ac:dyDescent="0.25">
      <c r="A4" s="71" t="s">
        <v>333</v>
      </c>
      <c r="B4" s="71"/>
      <c r="C4" s="68">
        <f>TbDinamicaApagar!AG27</f>
        <v>515</v>
      </c>
      <c r="D4" s="72">
        <f>C4/C3</f>
        <v>0.36785714285714288</v>
      </c>
      <c r="E4" s="73">
        <f>1-D4</f>
        <v>0.63214285714285712</v>
      </c>
    </row>
    <row r="5" spans="1:9" x14ac:dyDescent="0.25">
      <c r="A5" s="70" t="s">
        <v>334</v>
      </c>
      <c r="B5" s="70"/>
      <c r="C5" s="69">
        <f>C3-C4</f>
        <v>885</v>
      </c>
    </row>
    <row r="17" s="34" customFormat="1" x14ac:dyDescent="0.25"/>
    <row r="18" s="34" customFormat="1" x14ac:dyDescent="0.25"/>
    <row r="19" s="34" customFormat="1" x14ac:dyDescent="0.25"/>
    <row r="20" s="34" customFormat="1" x14ac:dyDescent="0.25"/>
    <row r="21" s="34" customFormat="1" x14ac:dyDescent="0.25"/>
    <row r="22" s="34" customFormat="1" x14ac:dyDescent="0.25"/>
    <row r="23" s="34" customFormat="1" x14ac:dyDescent="0.25"/>
    <row r="24" s="34" customFormat="1" x14ac:dyDescent="0.25"/>
    <row r="25" s="34" customFormat="1" x14ac:dyDescent="0.25"/>
    <row r="26" s="34" customFormat="1" x14ac:dyDescent="0.25"/>
  </sheetData>
  <mergeCells count="3">
    <mergeCell ref="A3:B3"/>
    <mergeCell ref="A4:B4"/>
    <mergeCell ref="A5:B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D11"/>
  <sheetViews>
    <sheetView showGridLines="0" workbookViewId="0">
      <selection activeCell="B5" sqref="B5:C5"/>
    </sheetView>
  </sheetViews>
  <sheetFormatPr defaultColWidth="0" defaultRowHeight="15" x14ac:dyDescent="0.25"/>
  <cols>
    <col min="1" max="1" width="18.140625" style="34" bestFit="1" customWidth="1"/>
    <col min="2" max="2" width="15.85546875" style="34" bestFit="1" customWidth="1"/>
    <col min="3" max="3" width="11.42578125" style="34" bestFit="1" customWidth="1"/>
    <col min="4" max="4" width="11.28515625" style="34" customWidth="1"/>
    <col min="5" max="5" width="16.425781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7.85546875" style="10" bestFit="1" customWidth="1"/>
    <col min="11" max="11" width="18" style="10" bestFit="1" customWidth="1"/>
    <col min="12" max="12" width="10.28515625" style="10" bestFit="1" customWidth="1"/>
    <col min="13" max="13" width="8.85546875" style="10" bestFit="1" customWidth="1"/>
    <col min="14" max="14" width="18.140625" style="34" bestFit="1" customWidth="1"/>
    <col min="15" max="15" width="7.42578125" style="34" bestFit="1" customWidth="1"/>
    <col min="16" max="16" width="10" style="34" bestFit="1" customWidth="1"/>
    <col min="17" max="17" width="17.28515625" style="34" bestFit="1" customWidth="1"/>
    <col min="18" max="18" width="15" style="34" bestFit="1" customWidth="1"/>
    <col min="19" max="19" width="7.5703125" customWidth="1"/>
    <col min="20" max="21" width="13.5703125" style="17" hidden="1"/>
    <col min="22" max="22" width="12.28515625" style="17" hidden="1"/>
    <col min="23" max="23" width="13.140625" style="17" hidden="1"/>
    <col min="24" max="24" width="11.28515625" style="17" hidden="1"/>
    <col min="25" max="25" width="7.5703125" style="17" hidden="1"/>
    <col min="26" max="30" width="7.5703125" hidden="1"/>
    <col min="31" max="16383" width="9.140625" hidden="1"/>
    <col min="16384" max="16384" width="3.42578125" hidden="1"/>
  </cols>
  <sheetData>
    <row r="1" spans="1:27" ht="36" customHeight="1" thickBot="1" x14ac:dyDescent="0.4">
      <c r="A1" s="56" t="s">
        <v>115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5"/>
      <c r="S1" s="15"/>
      <c r="T1" s="51"/>
      <c r="U1" s="51"/>
      <c r="V1" s="51"/>
      <c r="W1" s="51"/>
      <c r="X1" s="51"/>
      <c r="Y1" s="51"/>
      <c r="Z1" s="15"/>
      <c r="AA1" s="15"/>
    </row>
    <row r="2" spans="1:27" x14ac:dyDescent="0.25">
      <c r="A2" t="s">
        <v>328</v>
      </c>
      <c r="B2" s="54"/>
      <c r="C2" s="33" t="s">
        <v>326</v>
      </c>
      <c r="D2" s="54"/>
      <c r="F2" s="21"/>
      <c r="G2" s="21"/>
      <c r="H2" s="21"/>
      <c r="I2" s="21"/>
      <c r="J2" s="21"/>
      <c r="K2" s="21"/>
      <c r="L2" s="21"/>
      <c r="M2" s="21"/>
      <c r="N2"/>
      <c r="O2" s="13"/>
      <c r="P2" s="13"/>
      <c r="Q2" s="17"/>
      <c r="R2" s="17"/>
      <c r="S2" s="17"/>
      <c r="T2" s="52" t="s">
        <v>110</v>
      </c>
      <c r="U2" s="52" t="s">
        <v>110</v>
      </c>
      <c r="V2" s="52" t="s">
        <v>109</v>
      </c>
      <c r="W2" s="52" t="s">
        <v>86</v>
      </c>
      <c r="X2" s="52" t="s">
        <v>101</v>
      </c>
      <c r="Y2" s="52" t="s">
        <v>111</v>
      </c>
      <c r="Z2" s="13"/>
      <c r="AA2" s="13"/>
    </row>
    <row r="3" spans="1:27" x14ac:dyDescent="0.25">
      <c r="A3" s="12" t="s">
        <v>103</v>
      </c>
      <c r="B3" s="59"/>
      <c r="C3" s="59"/>
      <c r="D3" s="59"/>
      <c r="E3" s="20"/>
      <c r="F3" s="21"/>
      <c r="G3" s="21"/>
      <c r="H3" s="21"/>
      <c r="I3" s="21"/>
      <c r="J3" s="21"/>
      <c r="K3" s="21"/>
      <c r="L3" s="21"/>
      <c r="M3" s="21"/>
      <c r="N3"/>
      <c r="O3" s="13"/>
      <c r="P3" s="13"/>
      <c r="Q3" s="17"/>
      <c r="R3" s="17"/>
      <c r="S3" s="17"/>
      <c r="T3" s="53" t="str">
        <f>"&gt;="&amp;IF($B$2="",0,$B$2)</f>
        <v>&gt;=0</v>
      </c>
      <c r="U3" s="53" t="str">
        <f>"&lt;="&amp;IF($D$2="",999999,$D$2)</f>
        <v>&lt;=999999</v>
      </c>
      <c r="V3" s="53" t="str">
        <f>IF($B$3&lt;&gt;"",$B$3,"")</f>
        <v/>
      </c>
      <c r="W3" s="53" t="str">
        <f>IF($B$4&lt;&gt;"",$B$4,"")</f>
        <v/>
      </c>
      <c r="X3" s="53" t="str">
        <f>IF($B$5&lt;&gt;"",$B$5,"")</f>
        <v/>
      </c>
      <c r="Y3" s="53" t="str">
        <f>IF($B$6&lt;&gt;"",$B$6,"")</f>
        <v/>
      </c>
      <c r="Z3" s="13"/>
      <c r="AA3" s="13"/>
    </row>
    <row r="4" spans="1:27" x14ac:dyDescent="0.25">
      <c r="A4" s="12" t="s">
        <v>104</v>
      </c>
      <c r="B4" s="58"/>
      <c r="C4" s="58"/>
      <c r="D4" s="58"/>
      <c r="E4" s="20"/>
      <c r="F4" s="30"/>
      <c r="G4" s="21"/>
      <c r="H4" s="29"/>
      <c r="I4" s="29"/>
      <c r="J4" s="29"/>
      <c r="K4" s="29"/>
      <c r="L4" s="21"/>
      <c r="M4" s="21"/>
      <c r="N4" s="13"/>
      <c r="O4" s="13"/>
      <c r="P4" s="13"/>
      <c r="Q4" s="17"/>
      <c r="R4" s="17"/>
      <c r="S4" s="17"/>
      <c r="T4" s="13"/>
      <c r="U4" s="13"/>
      <c r="V4" s="13"/>
      <c r="W4" s="13"/>
      <c r="X4" s="13"/>
      <c r="Y4" s="13"/>
      <c r="Z4" s="13"/>
      <c r="AA4" s="13"/>
    </row>
    <row r="5" spans="1:27" x14ac:dyDescent="0.25">
      <c r="A5" s="14" t="s">
        <v>106</v>
      </c>
      <c r="B5" s="58"/>
      <c r="C5" s="58"/>
      <c r="D5" s="12"/>
      <c r="E5" s="22"/>
      <c r="F5" s="31"/>
      <c r="G5" s="21"/>
      <c r="H5" s="21"/>
      <c r="I5" s="21"/>
      <c r="J5" s="21"/>
      <c r="K5" s="21"/>
      <c r="L5" s="21"/>
      <c r="M5" s="21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</row>
    <row r="6" spans="1:27" x14ac:dyDescent="0.25">
      <c r="A6" s="14" t="s">
        <v>327</v>
      </c>
      <c r="B6" s="58"/>
      <c r="C6" s="58"/>
      <c r="D6"/>
      <c r="E6" s="23"/>
      <c r="F6" s="32"/>
      <c r="G6" s="21"/>
      <c r="H6" s="21"/>
      <c r="I6" s="21"/>
      <c r="J6" s="21"/>
      <c r="K6" s="21"/>
      <c r="L6" s="21"/>
      <c r="M6" s="21"/>
      <c r="N6" s="13"/>
      <c r="O6" s="13"/>
      <c r="P6" s="13"/>
      <c r="Q6" s="13"/>
      <c r="R6" s="13"/>
      <c r="S6" s="13"/>
      <c r="T6" s="13" t="s">
        <v>102</v>
      </c>
      <c r="U6" s="13" t="s">
        <v>113</v>
      </c>
      <c r="V6" s="13"/>
      <c r="W6" s="13"/>
      <c r="X6" s="13"/>
      <c r="Y6" s="13"/>
      <c r="Z6" s="13"/>
      <c r="AA6" s="13"/>
    </row>
    <row r="7" spans="1:27" x14ac:dyDescent="0.25">
      <c r="A7" s="11" t="s">
        <v>109</v>
      </c>
      <c r="B7" s="18" t="s">
        <v>52</v>
      </c>
      <c r="C7" s="18" t="s">
        <v>112</v>
      </c>
      <c r="D7" s="11" t="s">
        <v>88</v>
      </c>
      <c r="E7" s="9" t="s">
        <v>118</v>
      </c>
      <c r="F7" s="9" t="s">
        <v>62</v>
      </c>
      <c r="G7" s="9" t="s">
        <v>65</v>
      </c>
      <c r="H7" s="9" t="s">
        <v>66</v>
      </c>
      <c r="I7" s="9" t="s">
        <v>119</v>
      </c>
      <c r="J7" s="9" t="s">
        <v>100</v>
      </c>
      <c r="K7" s="9" t="s">
        <v>117</v>
      </c>
      <c r="L7" s="9" t="s">
        <v>67</v>
      </c>
      <c r="M7" s="9" t="s">
        <v>68</v>
      </c>
      <c r="N7" s="18" t="s">
        <v>110</v>
      </c>
      <c r="O7" s="18" t="s">
        <v>111</v>
      </c>
      <c r="P7" s="18" t="s">
        <v>101</v>
      </c>
      <c r="Q7" s="18" t="s">
        <v>114</v>
      </c>
      <c r="R7" s="18" t="s">
        <v>86</v>
      </c>
      <c r="T7" s="13" t="s">
        <v>307</v>
      </c>
      <c r="U7" s="13" t="s">
        <v>120</v>
      </c>
      <c r="V7" s="13"/>
      <c r="W7" s="13"/>
      <c r="X7" s="13"/>
      <c r="Y7" s="13"/>
    </row>
    <row r="8" spans="1:27" x14ac:dyDescent="0.25">
      <c r="A8" s="34" t="s">
        <v>139</v>
      </c>
      <c r="B8" s="34">
        <v>2</v>
      </c>
      <c r="D8" s="8" t="s">
        <v>303</v>
      </c>
      <c r="E8" s="19">
        <v>101</v>
      </c>
      <c r="F8" s="19">
        <v>0</v>
      </c>
      <c r="G8" s="19">
        <v>0</v>
      </c>
      <c r="H8" s="19">
        <v>0</v>
      </c>
      <c r="I8" s="19">
        <v>10</v>
      </c>
      <c r="J8" s="19">
        <v>0</v>
      </c>
      <c r="K8" s="19">
        <v>0</v>
      </c>
      <c r="L8" s="19">
        <v>0</v>
      </c>
      <c r="M8" s="19">
        <v>111</v>
      </c>
      <c r="N8" s="1">
        <v>44255</v>
      </c>
      <c r="O8" s="34" t="s">
        <v>113</v>
      </c>
      <c r="P8" s="34" t="s">
        <v>102</v>
      </c>
      <c r="Q8" s="1">
        <v>44255</v>
      </c>
      <c r="R8" s="34" t="s">
        <v>286</v>
      </c>
      <c r="T8" s="4" t="s">
        <v>322</v>
      </c>
    </row>
    <row r="9" spans="1:27" x14ac:dyDescent="0.25">
      <c r="A9" s="34" t="s">
        <v>139</v>
      </c>
      <c r="B9" s="34">
        <v>3</v>
      </c>
      <c r="D9" s="8" t="s">
        <v>301</v>
      </c>
      <c r="E9" s="19">
        <v>103</v>
      </c>
      <c r="F9" s="19">
        <v>13</v>
      </c>
      <c r="G9" s="19">
        <v>0</v>
      </c>
      <c r="H9" s="19">
        <v>0</v>
      </c>
      <c r="I9" s="19"/>
      <c r="J9" s="19"/>
      <c r="K9" s="19"/>
      <c r="L9" s="19">
        <v>0</v>
      </c>
      <c r="M9" s="19">
        <v>116</v>
      </c>
      <c r="N9" s="1">
        <v>44255</v>
      </c>
      <c r="O9" s="34" t="s">
        <v>120</v>
      </c>
      <c r="P9" s="34" t="s">
        <v>102</v>
      </c>
      <c r="R9" s="34" t="s">
        <v>280</v>
      </c>
    </row>
    <row r="10" spans="1:27" x14ac:dyDescent="0.25">
      <c r="A10" s="34" t="s">
        <v>146</v>
      </c>
      <c r="B10" s="34">
        <v>8</v>
      </c>
      <c r="D10" s="8">
        <v>44289</v>
      </c>
      <c r="E10" s="19">
        <v>150</v>
      </c>
      <c r="F10" s="19">
        <v>12</v>
      </c>
      <c r="G10" s="19">
        <v>0</v>
      </c>
      <c r="H10" s="19">
        <v>10</v>
      </c>
      <c r="I10" s="19"/>
      <c r="J10" s="19"/>
      <c r="K10" s="19"/>
      <c r="L10" s="19">
        <v>0</v>
      </c>
      <c r="M10" s="19">
        <v>172</v>
      </c>
      <c r="N10" s="1">
        <v>44259</v>
      </c>
      <c r="O10" s="34" t="s">
        <v>120</v>
      </c>
      <c r="P10" s="43" t="s">
        <v>102</v>
      </c>
      <c r="Q10" s="1">
        <v>44257</v>
      </c>
      <c r="R10" s="34" t="s">
        <v>282</v>
      </c>
    </row>
    <row r="11" spans="1:27" x14ac:dyDescent="0.25">
      <c r="A11" s="12" t="s">
        <v>139</v>
      </c>
      <c r="B11" s="12">
        <v>5</v>
      </c>
      <c r="C11" s="12"/>
      <c r="D11" s="45" t="s">
        <v>301</v>
      </c>
      <c r="E11" s="46">
        <v>105</v>
      </c>
      <c r="F11" s="46">
        <v>13</v>
      </c>
      <c r="G11" s="46">
        <v>0</v>
      </c>
      <c r="H11" s="46">
        <v>0</v>
      </c>
      <c r="I11" s="46"/>
      <c r="J11" s="46"/>
      <c r="K11" s="46"/>
      <c r="L11" s="46">
        <v>0</v>
      </c>
      <c r="M11" s="46">
        <v>116</v>
      </c>
      <c r="N11" s="47">
        <v>44255</v>
      </c>
      <c r="O11" s="12" t="s">
        <v>120</v>
      </c>
      <c r="P11" s="48" t="s">
        <v>102</v>
      </c>
      <c r="Q11" s="47">
        <v>44257</v>
      </c>
      <c r="R11" s="12" t="s">
        <v>280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D3 D1 C3 C1 B1 B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5:C5" xr:uid="{3F959383-81DD-485B-BF73-6BA012EC08ED}">
      <formula1>$T$6:$T$8</formula1>
    </dataValidation>
    <dataValidation type="list" allowBlank="1" showInputMessage="1" showErrorMessage="1" sqref="B6:C6" xr:uid="{10DEDED2-8C74-4F2C-BD4F-EA404F25653A}">
      <formula1>$U$6:$U$7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6"/>
  <sheetViews>
    <sheetView topLeftCell="I1" workbookViewId="0">
      <selection activeCell="N1" sqref="N1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0" customWidth="1"/>
    <col min="6" max="6" width="16.5703125" style="10" customWidth="1"/>
    <col min="7" max="9" width="16.42578125" style="10" customWidth="1"/>
    <col min="10" max="10" width="19.7109375" style="10" customWidth="1"/>
    <col min="11" max="11" width="20.28515625" style="10" customWidth="1"/>
    <col min="12" max="13" width="16.42578125" style="10" customWidth="1"/>
    <col min="14" max="17" width="20" customWidth="1"/>
    <col min="18" max="18" width="16.42578125" customWidth="1"/>
  </cols>
  <sheetData>
    <row r="1" spans="1:18" x14ac:dyDescent="0.25">
      <c r="A1" t="s">
        <v>109</v>
      </c>
      <c r="B1" t="s">
        <v>52</v>
      </c>
      <c r="C1" t="s">
        <v>112</v>
      </c>
      <c r="D1" t="s">
        <v>88</v>
      </c>
      <c r="E1" t="s">
        <v>118</v>
      </c>
      <c r="F1" t="s">
        <v>62</v>
      </c>
      <c r="G1" t="s">
        <v>65</v>
      </c>
      <c r="H1" t="s">
        <v>66</v>
      </c>
      <c r="I1" t="s">
        <v>119</v>
      </c>
      <c r="J1" t="s">
        <v>100</v>
      </c>
      <c r="K1" t="s">
        <v>117</v>
      </c>
      <c r="L1" t="s">
        <v>67</v>
      </c>
      <c r="M1" t="s">
        <v>68</v>
      </c>
      <c r="N1" t="s">
        <v>110</v>
      </c>
      <c r="O1" t="s">
        <v>111</v>
      </c>
      <c r="P1" t="s">
        <v>101</v>
      </c>
      <c r="Q1" t="s">
        <v>114</v>
      </c>
      <c r="R1" t="s">
        <v>86</v>
      </c>
    </row>
    <row r="2" spans="1:18" x14ac:dyDescent="0.25">
      <c r="A2" t="s">
        <v>139</v>
      </c>
      <c r="B2">
        <v>2</v>
      </c>
      <c r="D2" s="8" t="s">
        <v>303</v>
      </c>
      <c r="E2" s="19">
        <v>101</v>
      </c>
      <c r="F2" s="19">
        <v>0</v>
      </c>
      <c r="G2" s="19">
        <v>0</v>
      </c>
      <c r="H2" s="19">
        <v>0</v>
      </c>
      <c r="I2" s="19">
        <v>10</v>
      </c>
      <c r="J2" s="19">
        <v>0</v>
      </c>
      <c r="K2" s="19">
        <v>0</v>
      </c>
      <c r="L2" s="19">
        <v>0</v>
      </c>
      <c r="M2" s="19">
        <v>111</v>
      </c>
      <c r="N2" s="1">
        <v>44255</v>
      </c>
      <c r="O2" t="s">
        <v>113</v>
      </c>
      <c r="P2" s="34" t="s">
        <v>102</v>
      </c>
      <c r="Q2" s="1">
        <v>44255</v>
      </c>
      <c r="R2" t="s">
        <v>286</v>
      </c>
    </row>
    <row r="3" spans="1:18" x14ac:dyDescent="0.25">
      <c r="A3" t="s">
        <v>139</v>
      </c>
      <c r="B3">
        <v>3</v>
      </c>
      <c r="D3" s="8" t="s">
        <v>301</v>
      </c>
      <c r="E3" s="19">
        <v>103</v>
      </c>
      <c r="F3" s="19">
        <v>13</v>
      </c>
      <c r="G3" s="19">
        <v>0</v>
      </c>
      <c r="H3" s="19">
        <v>0</v>
      </c>
      <c r="I3" s="19"/>
      <c r="J3" s="19"/>
      <c r="K3" s="19"/>
      <c r="L3" s="19">
        <v>0</v>
      </c>
      <c r="M3" s="19">
        <v>116</v>
      </c>
      <c r="N3" s="1">
        <v>44255</v>
      </c>
      <c r="O3" t="s">
        <v>120</v>
      </c>
      <c r="P3" t="s">
        <v>102</v>
      </c>
      <c r="R3" t="s">
        <v>280</v>
      </c>
    </row>
    <row r="4" spans="1:18" s="34" customFormat="1" x14ac:dyDescent="0.25">
      <c r="A4" s="34" t="s">
        <v>146</v>
      </c>
      <c r="B4" s="34">
        <v>8</v>
      </c>
      <c r="D4" s="8">
        <v>44289</v>
      </c>
      <c r="E4" s="19">
        <v>150</v>
      </c>
      <c r="F4" s="19">
        <v>12</v>
      </c>
      <c r="G4" s="19">
        <v>0</v>
      </c>
      <c r="H4" s="19">
        <v>10</v>
      </c>
      <c r="I4" s="19"/>
      <c r="J4" s="19"/>
      <c r="K4" s="19"/>
      <c r="L4" s="19">
        <v>0</v>
      </c>
      <c r="M4" s="19">
        <v>172</v>
      </c>
      <c r="N4" s="1">
        <v>44259</v>
      </c>
      <c r="O4" s="34" t="s">
        <v>120</v>
      </c>
      <c r="P4" s="43" t="s">
        <v>102</v>
      </c>
      <c r="Q4" s="1">
        <v>44257</v>
      </c>
      <c r="R4" s="34" t="s">
        <v>282</v>
      </c>
    </row>
    <row r="5" spans="1:18" s="34" customFormat="1" x14ac:dyDescent="0.25">
      <c r="A5" s="12" t="s">
        <v>139</v>
      </c>
      <c r="B5" s="12">
        <v>5</v>
      </c>
      <c r="C5" s="12"/>
      <c r="D5" s="45" t="s">
        <v>301</v>
      </c>
      <c r="E5" s="46">
        <v>105</v>
      </c>
      <c r="F5" s="46">
        <v>13</v>
      </c>
      <c r="G5" s="46">
        <v>0</v>
      </c>
      <c r="H5" s="46">
        <v>0</v>
      </c>
      <c r="I5" s="46"/>
      <c r="J5" s="46"/>
      <c r="K5" s="46"/>
      <c r="L5" s="46">
        <v>0</v>
      </c>
      <c r="M5" s="46">
        <v>116</v>
      </c>
      <c r="N5" s="47">
        <v>44255</v>
      </c>
      <c r="O5" s="12" t="s">
        <v>120</v>
      </c>
      <c r="P5" s="48" t="s">
        <v>102</v>
      </c>
      <c r="Q5" s="47">
        <v>44257</v>
      </c>
      <c r="R5" s="12" t="s">
        <v>280</v>
      </c>
    </row>
    <row r="6" spans="1:18" x14ac:dyDescent="0.25">
      <c r="E6" s="10" t="s">
        <v>308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D9"/>
  <sheetViews>
    <sheetView showGridLines="0" workbookViewId="0">
      <selection activeCell="B5" sqref="B5:C5"/>
    </sheetView>
  </sheetViews>
  <sheetFormatPr defaultColWidth="0" defaultRowHeight="15" x14ac:dyDescent="0.25"/>
  <cols>
    <col min="1" max="1" width="18.140625" style="34" bestFit="1" customWidth="1"/>
    <col min="2" max="2" width="15.85546875" style="34" bestFit="1" customWidth="1"/>
    <col min="3" max="3" width="11.42578125" style="34" bestFit="1" customWidth="1"/>
    <col min="4" max="4" width="14.140625" style="34" customWidth="1"/>
    <col min="5" max="5" width="17.285156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8" style="10" customWidth="1"/>
    <col min="11" max="11" width="18.5703125" style="10" bestFit="1" customWidth="1"/>
    <col min="12" max="12" width="19.140625" style="10" bestFit="1" customWidth="1"/>
    <col min="13" max="13" width="11.140625" style="10" bestFit="1" customWidth="1"/>
    <col min="14" max="14" width="22.7109375" style="34" bestFit="1" customWidth="1"/>
    <col min="15" max="15" width="11.140625" style="34" bestFit="1" customWidth="1"/>
    <col min="16" max="16" width="10" style="34" bestFit="1" customWidth="1"/>
    <col min="17" max="17" width="22.7109375" style="34" bestFit="1" customWidth="1"/>
    <col min="18" max="18" width="19.5703125" style="34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56" t="s">
        <v>121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5"/>
      <c r="S1" s="15"/>
      <c r="Z1" s="15"/>
      <c r="AA1" s="15"/>
    </row>
    <row r="2" spans="1:27" x14ac:dyDescent="0.25">
      <c r="A2" s="34" t="s">
        <v>328</v>
      </c>
      <c r="B2" s="54"/>
      <c r="C2" s="33" t="s">
        <v>326</v>
      </c>
      <c r="D2" s="54"/>
      <c r="L2" s="21"/>
      <c r="M2" s="25"/>
      <c r="N2" s="4"/>
      <c r="O2" s="4"/>
      <c r="P2" s="4"/>
      <c r="Q2" s="4"/>
      <c r="R2" s="4"/>
      <c r="S2" s="4"/>
      <c r="T2" s="52" t="s">
        <v>110</v>
      </c>
      <c r="U2" s="52" t="s">
        <v>110</v>
      </c>
      <c r="V2" s="52" t="s">
        <v>109</v>
      </c>
      <c r="W2" s="52" t="s">
        <v>86</v>
      </c>
      <c r="X2" s="52" t="s">
        <v>101</v>
      </c>
      <c r="Y2" s="52" t="s">
        <v>111</v>
      </c>
      <c r="Z2" s="13"/>
      <c r="AA2" s="13"/>
    </row>
    <row r="3" spans="1:27" x14ac:dyDescent="0.25">
      <c r="A3" s="12" t="s">
        <v>103</v>
      </c>
      <c r="B3" s="59"/>
      <c r="C3" s="59"/>
      <c r="D3" s="59"/>
      <c r="E3" s="20"/>
      <c r="L3" s="21"/>
      <c r="M3" s="25"/>
      <c r="N3" s="4"/>
      <c r="O3" s="4"/>
      <c r="P3" s="4"/>
      <c r="Q3" s="4"/>
      <c r="R3" s="4"/>
      <c r="S3" s="4"/>
      <c r="T3" s="53" t="str">
        <f>"&gt;="&amp;IF($B$2="",0,$B$2)</f>
        <v>&gt;=0</v>
      </c>
      <c r="U3" s="53" t="str">
        <f>"&lt;="&amp;IF($D$2="",99999,$D$2)</f>
        <v>&lt;=99999</v>
      </c>
      <c r="V3" s="53" t="str">
        <f>IF($B$3&lt;&gt;"",$B$3,"")</f>
        <v/>
      </c>
      <c r="W3" s="53" t="str">
        <f>IF($B$4&lt;&gt;"",$B$4,"")</f>
        <v/>
      </c>
      <c r="X3" s="53" t="str">
        <f>IF($B$5&lt;&gt;"",$B$5,"")</f>
        <v/>
      </c>
      <c r="Y3" s="53" t="str">
        <f>IF($B$6&lt;&gt;"",$B$6,"")</f>
        <v/>
      </c>
      <c r="Z3" s="13"/>
      <c r="AA3" s="13"/>
    </row>
    <row r="4" spans="1:27" x14ac:dyDescent="0.25">
      <c r="A4" s="12" t="s">
        <v>104</v>
      </c>
      <c r="B4" s="58"/>
      <c r="C4" s="58"/>
      <c r="D4" s="58"/>
      <c r="E4" s="20"/>
      <c r="F4" s="30"/>
      <c r="G4" s="21"/>
      <c r="H4" s="29"/>
      <c r="I4" s="29"/>
      <c r="J4" s="29"/>
      <c r="K4" s="29"/>
      <c r="L4" s="21"/>
      <c r="M4" s="25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3"/>
      <c r="AA4" s="13"/>
    </row>
    <row r="5" spans="1:27" x14ac:dyDescent="0.25">
      <c r="A5" s="14" t="s">
        <v>106</v>
      </c>
      <c r="B5" s="58"/>
      <c r="C5" s="58"/>
      <c r="D5" s="12"/>
      <c r="E5" s="22"/>
      <c r="F5" s="26"/>
      <c r="G5" s="25"/>
      <c r="H5" s="21"/>
      <c r="I5" s="21"/>
      <c r="J5" s="21"/>
      <c r="K5" s="21"/>
      <c r="L5" s="21"/>
      <c r="M5" s="25"/>
      <c r="N5" s="4"/>
      <c r="O5" s="4"/>
      <c r="P5" s="4"/>
      <c r="Q5" s="4"/>
      <c r="R5" s="4"/>
      <c r="S5" s="4"/>
      <c r="T5" s="61" t="s">
        <v>102</v>
      </c>
      <c r="U5" s="61" t="s">
        <v>113</v>
      </c>
      <c r="V5" s="4"/>
      <c r="W5" s="4"/>
      <c r="X5" s="4"/>
      <c r="Y5" s="4"/>
      <c r="Z5" s="13"/>
      <c r="AA5" s="13"/>
    </row>
    <row r="6" spans="1:27" x14ac:dyDescent="0.25">
      <c r="A6" s="14" t="s">
        <v>327</v>
      </c>
      <c r="B6" s="58"/>
      <c r="C6" s="58"/>
      <c r="D6"/>
      <c r="E6" s="23"/>
      <c r="F6" s="27"/>
      <c r="G6" s="25"/>
      <c r="H6" s="25"/>
      <c r="I6" s="25"/>
      <c r="J6" s="25"/>
      <c r="K6" s="25"/>
      <c r="L6" s="25"/>
      <c r="M6" s="21"/>
      <c r="N6" s="13"/>
      <c r="O6" s="13"/>
      <c r="P6" s="13"/>
      <c r="Q6" s="13"/>
      <c r="R6" s="13"/>
      <c r="S6" s="13"/>
      <c r="T6" s="62" t="s">
        <v>307</v>
      </c>
      <c r="U6" s="62" t="s">
        <v>120</v>
      </c>
      <c r="V6" s="13"/>
      <c r="W6" s="13"/>
      <c r="X6" s="13"/>
      <c r="Y6" s="13"/>
      <c r="Z6" s="13"/>
      <c r="AA6" s="13"/>
    </row>
    <row r="7" spans="1:27" x14ac:dyDescent="0.25">
      <c r="A7" s="18" t="s">
        <v>109</v>
      </c>
      <c r="B7" s="18" t="s">
        <v>52</v>
      </c>
      <c r="C7" s="18" t="s">
        <v>112</v>
      </c>
      <c r="D7" s="18" t="s">
        <v>88</v>
      </c>
      <c r="E7" s="18" t="s">
        <v>118</v>
      </c>
      <c r="F7" s="18" t="s">
        <v>62</v>
      </c>
      <c r="G7" s="18" t="s">
        <v>65</v>
      </c>
      <c r="H7" s="18" t="s">
        <v>66</v>
      </c>
      <c r="I7" s="18" t="s">
        <v>119</v>
      </c>
      <c r="J7" s="18" t="s">
        <v>100</v>
      </c>
      <c r="K7" s="18" t="s">
        <v>122</v>
      </c>
      <c r="L7" s="18" t="s">
        <v>67</v>
      </c>
      <c r="M7" s="18" t="s">
        <v>131</v>
      </c>
      <c r="N7" s="18" t="s">
        <v>110</v>
      </c>
      <c r="O7" s="18" t="s">
        <v>111</v>
      </c>
      <c r="P7" s="18" t="s">
        <v>101</v>
      </c>
      <c r="Q7" s="18" t="s">
        <v>85</v>
      </c>
      <c r="R7" s="18" t="s">
        <v>86</v>
      </c>
      <c r="T7" s="63" t="s">
        <v>322</v>
      </c>
      <c r="U7" s="64"/>
    </row>
    <row r="8" spans="1:27" x14ac:dyDescent="0.25">
      <c r="A8" s="34" t="s">
        <v>146</v>
      </c>
      <c r="B8" s="34">
        <v>10</v>
      </c>
      <c r="C8" s="34">
        <v>121</v>
      </c>
      <c r="D8" s="8">
        <v>44289</v>
      </c>
      <c r="E8" s="19">
        <v>200</v>
      </c>
      <c r="F8" s="19">
        <v>12</v>
      </c>
      <c r="G8" s="19">
        <v>0</v>
      </c>
      <c r="H8" s="19">
        <v>10</v>
      </c>
      <c r="I8" s="19"/>
      <c r="J8" s="19"/>
      <c r="K8" s="19"/>
      <c r="L8" s="19">
        <v>0</v>
      </c>
      <c r="M8" s="19">
        <v>234</v>
      </c>
      <c r="N8" s="1">
        <v>44259</v>
      </c>
      <c r="O8" s="34" t="s">
        <v>120</v>
      </c>
      <c r="P8" s="34" t="s">
        <v>322</v>
      </c>
      <c r="Q8" s="1">
        <v>44260</v>
      </c>
      <c r="R8" s="34" t="s">
        <v>282</v>
      </c>
    </row>
    <row r="9" spans="1:27" x14ac:dyDescent="0.25">
      <c r="A9" s="34" t="s">
        <v>146</v>
      </c>
      <c r="B9" s="34">
        <v>8</v>
      </c>
      <c r="C9" s="34">
        <v>121</v>
      </c>
      <c r="D9" s="8">
        <v>44259</v>
      </c>
      <c r="E9" s="19">
        <v>200</v>
      </c>
      <c r="F9" s="19">
        <v>12</v>
      </c>
      <c r="G9" s="19">
        <v>0</v>
      </c>
      <c r="H9" s="19">
        <v>10</v>
      </c>
      <c r="I9" s="19"/>
      <c r="J9" s="19"/>
      <c r="K9" s="19"/>
      <c r="L9" s="19">
        <v>0</v>
      </c>
      <c r="M9" s="19">
        <v>234</v>
      </c>
      <c r="N9" s="1">
        <v>44259</v>
      </c>
      <c r="O9" s="34" t="s">
        <v>120</v>
      </c>
      <c r="P9" s="44" t="s">
        <v>322</v>
      </c>
      <c r="Q9" s="1">
        <v>44260</v>
      </c>
      <c r="R9" s="34" t="s">
        <v>282</v>
      </c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U7"/>
  <sheetViews>
    <sheetView topLeftCell="N1" workbookViewId="0">
      <selection activeCell="A5" sqref="A5"/>
    </sheetView>
  </sheetViews>
  <sheetFormatPr defaultRowHeight="15" x14ac:dyDescent="0.25"/>
  <cols>
    <col min="1" max="3" width="22.7109375" customWidth="1"/>
    <col min="4" max="4" width="22.7109375" style="28" customWidth="1"/>
    <col min="5" max="13" width="22.7109375" style="10" customWidth="1"/>
    <col min="14" max="17" width="22.7109375" customWidth="1"/>
    <col min="18" max="20" width="22.7109375" style="34" customWidth="1"/>
    <col min="21" max="21" width="22.7109375" customWidth="1"/>
  </cols>
  <sheetData>
    <row r="1" spans="1:21" x14ac:dyDescent="0.25">
      <c r="A1" t="s">
        <v>109</v>
      </c>
      <c r="B1" t="s">
        <v>52</v>
      </c>
      <c r="C1" t="s">
        <v>112</v>
      </c>
      <c r="D1" t="s">
        <v>88</v>
      </c>
      <c r="E1" t="s">
        <v>118</v>
      </c>
      <c r="F1" t="s">
        <v>62</v>
      </c>
      <c r="G1" t="s">
        <v>65</v>
      </c>
      <c r="H1" t="s">
        <v>66</v>
      </c>
      <c r="I1" t="s">
        <v>119</v>
      </c>
      <c r="J1" t="s">
        <v>100</v>
      </c>
      <c r="K1" t="s">
        <v>122</v>
      </c>
      <c r="L1" t="s">
        <v>67</v>
      </c>
      <c r="M1" t="s">
        <v>131</v>
      </c>
      <c r="N1" t="s">
        <v>110</v>
      </c>
      <c r="O1" t="s">
        <v>111</v>
      </c>
      <c r="P1" t="s">
        <v>101</v>
      </c>
      <c r="Q1" t="s">
        <v>85</v>
      </c>
      <c r="R1" s="34" t="s">
        <v>86</v>
      </c>
      <c r="S1" t="s">
        <v>44</v>
      </c>
      <c r="T1" s="34" t="s">
        <v>309</v>
      </c>
      <c r="U1" t="s">
        <v>310</v>
      </c>
    </row>
    <row r="2" spans="1:21" x14ac:dyDescent="0.25">
      <c r="A2" t="s">
        <v>139</v>
      </c>
      <c r="B2">
        <v>2</v>
      </c>
      <c r="D2" s="28" t="s">
        <v>303</v>
      </c>
      <c r="E2" s="19">
        <v>202</v>
      </c>
      <c r="F2" s="19">
        <v>0</v>
      </c>
      <c r="G2" s="19">
        <v>0</v>
      </c>
      <c r="H2" s="19">
        <v>0</v>
      </c>
      <c r="I2" s="19">
        <v>10</v>
      </c>
      <c r="J2" s="19">
        <v>0</v>
      </c>
      <c r="K2" s="19">
        <v>0</v>
      </c>
      <c r="L2" s="19">
        <v>0</v>
      </c>
      <c r="M2" s="19">
        <v>212</v>
      </c>
      <c r="N2" s="1">
        <v>44255</v>
      </c>
      <c r="O2" t="s">
        <v>113</v>
      </c>
      <c r="P2" t="s">
        <v>102</v>
      </c>
      <c r="Q2" s="1">
        <v>44258</v>
      </c>
      <c r="R2" s="34" t="s">
        <v>286</v>
      </c>
      <c r="T2" s="19">
        <v>212</v>
      </c>
    </row>
    <row r="3" spans="1:21" x14ac:dyDescent="0.25">
      <c r="A3" t="s">
        <v>136</v>
      </c>
      <c r="B3">
        <v>4</v>
      </c>
      <c r="D3" s="28" t="s">
        <v>276</v>
      </c>
      <c r="E3" s="19">
        <v>200</v>
      </c>
      <c r="F3" s="19">
        <v>12</v>
      </c>
      <c r="G3" s="19">
        <v>10</v>
      </c>
      <c r="H3" s="19">
        <v>0</v>
      </c>
      <c r="I3" s="19"/>
      <c r="J3" s="19"/>
      <c r="K3" s="19"/>
      <c r="L3" s="19">
        <v>10</v>
      </c>
      <c r="M3" s="19">
        <v>244</v>
      </c>
      <c r="N3" s="1">
        <v>44255</v>
      </c>
      <c r="O3" t="s">
        <v>120</v>
      </c>
      <c r="P3" s="34" t="s">
        <v>102</v>
      </c>
      <c r="Q3" s="1">
        <v>44258</v>
      </c>
      <c r="R3" s="34" t="s">
        <v>281</v>
      </c>
      <c r="T3" s="19">
        <v>244</v>
      </c>
    </row>
    <row r="4" spans="1:21" x14ac:dyDescent="0.25">
      <c r="A4" t="s">
        <v>146</v>
      </c>
      <c r="B4">
        <v>10</v>
      </c>
      <c r="C4">
        <v>121</v>
      </c>
      <c r="D4" s="8">
        <v>44289</v>
      </c>
      <c r="E4" s="19">
        <v>200</v>
      </c>
      <c r="F4" s="19">
        <v>12</v>
      </c>
      <c r="G4" s="19">
        <v>0</v>
      </c>
      <c r="H4" s="19">
        <v>10</v>
      </c>
      <c r="I4" s="19"/>
      <c r="J4" s="19"/>
      <c r="K4" s="19"/>
      <c r="L4" s="19">
        <v>0</v>
      </c>
      <c r="M4" s="19">
        <v>234</v>
      </c>
      <c r="N4" s="1">
        <v>44259</v>
      </c>
      <c r="O4" s="34" t="s">
        <v>120</v>
      </c>
      <c r="P4" s="34" t="s">
        <v>322</v>
      </c>
      <c r="Q4" s="1">
        <v>44260</v>
      </c>
      <c r="R4" s="34" t="s">
        <v>282</v>
      </c>
      <c r="S4" s="34">
        <v>3</v>
      </c>
      <c r="T4" s="19">
        <v>134</v>
      </c>
      <c r="U4" s="34" t="s">
        <v>323</v>
      </c>
    </row>
    <row r="5" spans="1:21" s="34" customFormat="1" x14ac:dyDescent="0.25">
      <c r="A5" s="34" t="s">
        <v>139</v>
      </c>
      <c r="B5" s="34">
        <v>9</v>
      </c>
      <c r="D5" s="28" t="s">
        <v>315</v>
      </c>
      <c r="E5" s="19">
        <v>198.666666666667</v>
      </c>
      <c r="F5" s="19">
        <v>20</v>
      </c>
      <c r="G5" s="19">
        <v>3.3333333333333401</v>
      </c>
      <c r="H5" s="19">
        <v>13.3333333333333</v>
      </c>
      <c r="I5" s="19">
        <v>10</v>
      </c>
      <c r="J5" s="19">
        <v>0</v>
      </c>
      <c r="K5" s="19">
        <v>0</v>
      </c>
      <c r="L5" s="19">
        <v>3.3333333333333401</v>
      </c>
      <c r="M5" s="19">
        <v>252</v>
      </c>
      <c r="N5" s="1">
        <v>44255</v>
      </c>
      <c r="O5" s="34" t="s">
        <v>113</v>
      </c>
      <c r="P5" s="34" t="s">
        <v>102</v>
      </c>
      <c r="Q5" s="1">
        <v>44258</v>
      </c>
      <c r="R5" s="34" t="s">
        <v>286</v>
      </c>
      <c r="T5" s="19">
        <v>252</v>
      </c>
    </row>
    <row r="6" spans="1:21" x14ac:dyDescent="0.25">
      <c r="A6" s="34" t="s">
        <v>143</v>
      </c>
      <c r="B6" s="34">
        <v>7</v>
      </c>
      <c r="C6" s="34">
        <v>2</v>
      </c>
      <c r="D6" s="8">
        <v>44289</v>
      </c>
      <c r="E6" s="19">
        <v>400</v>
      </c>
      <c r="F6" s="19">
        <v>12</v>
      </c>
      <c r="G6" s="19">
        <v>0</v>
      </c>
      <c r="H6" s="19">
        <v>50</v>
      </c>
      <c r="I6" s="19"/>
      <c r="J6" s="19"/>
      <c r="K6" s="19"/>
      <c r="L6" s="19">
        <v>0</v>
      </c>
      <c r="M6" s="19">
        <v>474</v>
      </c>
      <c r="N6" s="1">
        <v>44259</v>
      </c>
      <c r="O6" s="34" t="s">
        <v>120</v>
      </c>
      <c r="P6" s="44" t="s">
        <v>102</v>
      </c>
      <c r="Q6" s="1">
        <v>44259</v>
      </c>
      <c r="R6" s="43" t="s">
        <v>282</v>
      </c>
      <c r="S6" s="34">
        <v>112</v>
      </c>
      <c r="T6" s="19">
        <v>474</v>
      </c>
      <c r="U6" s="34"/>
    </row>
    <row r="7" spans="1:21" x14ac:dyDescent="0.25">
      <c r="A7" t="s">
        <v>146</v>
      </c>
      <c r="B7">
        <v>8</v>
      </c>
      <c r="C7">
        <v>121</v>
      </c>
      <c r="D7" s="8">
        <v>44259</v>
      </c>
      <c r="E7" s="19">
        <v>200</v>
      </c>
      <c r="F7" s="19">
        <v>12</v>
      </c>
      <c r="G7" s="19">
        <v>0</v>
      </c>
      <c r="H7" s="19">
        <v>10</v>
      </c>
      <c r="I7" s="19"/>
      <c r="J7" s="19"/>
      <c r="K7" s="19"/>
      <c r="L7" s="19">
        <v>0</v>
      </c>
      <c r="M7" s="19">
        <v>234</v>
      </c>
      <c r="N7" s="1">
        <v>44259</v>
      </c>
      <c r="O7" t="s">
        <v>120</v>
      </c>
      <c r="P7" s="44" t="s">
        <v>322</v>
      </c>
      <c r="Q7" s="1">
        <v>44260</v>
      </c>
      <c r="R7" s="34" t="s">
        <v>282</v>
      </c>
      <c r="S7" s="34">
        <v>3</v>
      </c>
      <c r="T7" s="19">
        <v>84</v>
      </c>
      <c r="U7" t="s">
        <v>295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120"/>
  <sheetViews>
    <sheetView topLeftCell="Q1" workbookViewId="0">
      <selection activeCell="X18" sqref="X3:X18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4" bestFit="1" customWidth="1"/>
    <col min="19" max="19" width="18.7109375" style="34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9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3" ht="38.25" customHeight="1" x14ac:dyDescent="0.25">
      <c r="V1" s="60" t="s">
        <v>321</v>
      </c>
      <c r="W1" s="60"/>
      <c r="X1" s="60"/>
      <c r="Z1" s="60" t="s">
        <v>325</v>
      </c>
      <c r="AA1" s="60"/>
      <c r="AB1" s="60"/>
      <c r="AC1" s="60"/>
      <c r="AD1" s="60"/>
      <c r="AE1" s="60"/>
      <c r="AF1" s="60"/>
      <c r="AG1" s="60"/>
    </row>
    <row r="2" spans="1:33" x14ac:dyDescent="0.25">
      <c r="V2" s="49" t="s">
        <v>320</v>
      </c>
      <c r="W2" s="49" t="s">
        <v>318</v>
      </c>
      <c r="X2" s="49" t="s">
        <v>319</v>
      </c>
      <c r="Z2" s="49" t="s">
        <v>324</v>
      </c>
      <c r="AA2" s="49" t="s">
        <v>81</v>
      </c>
      <c r="AB2" s="49" t="s">
        <v>65</v>
      </c>
      <c r="AC2" s="49" t="s">
        <v>66</v>
      </c>
      <c r="AD2" s="49" t="s">
        <v>119</v>
      </c>
      <c r="AE2" s="49" t="s">
        <v>100</v>
      </c>
      <c r="AF2" s="49" t="s">
        <v>122</v>
      </c>
      <c r="AG2" s="49" t="s">
        <v>67</v>
      </c>
    </row>
    <row r="3" spans="1:33" x14ac:dyDescent="0.25">
      <c r="A3" s="24" t="s">
        <v>109</v>
      </c>
      <c r="B3" s="24" t="s">
        <v>44</v>
      </c>
      <c r="C3" s="24" t="s">
        <v>88</v>
      </c>
      <c r="D3" s="24" t="s">
        <v>52</v>
      </c>
      <c r="E3" s="24" t="s">
        <v>112</v>
      </c>
      <c r="F3" s="24" t="s">
        <v>118</v>
      </c>
      <c r="G3" s="24" t="s">
        <v>62</v>
      </c>
      <c r="H3" s="24" t="s">
        <v>65</v>
      </c>
      <c r="I3" s="24" t="s">
        <v>66</v>
      </c>
      <c r="J3" s="24" t="s">
        <v>119</v>
      </c>
      <c r="K3" s="24" t="s">
        <v>100</v>
      </c>
      <c r="L3" s="24" t="s">
        <v>122</v>
      </c>
      <c r="M3" s="24" t="s">
        <v>67</v>
      </c>
      <c r="N3" s="24" t="s">
        <v>131</v>
      </c>
      <c r="O3" s="24" t="s">
        <v>309</v>
      </c>
      <c r="P3" s="24" t="s">
        <v>110</v>
      </c>
      <c r="Q3" s="24" t="s">
        <v>111</v>
      </c>
      <c r="R3" s="24" t="s">
        <v>101</v>
      </c>
      <c r="S3" s="24" t="s">
        <v>85</v>
      </c>
      <c r="T3" s="24" t="s">
        <v>86</v>
      </c>
      <c r="V3" s="39" t="s">
        <v>280</v>
      </c>
      <c r="W3" s="10">
        <f>SUMIF($T:$T,$V3,N:N)</f>
        <v>0</v>
      </c>
      <c r="X3" s="10">
        <f>SUMIF($T:$T,$V3,O:O)</f>
        <v>0</v>
      </c>
      <c r="Z3" s="41" t="s">
        <v>136</v>
      </c>
      <c r="AA3" s="10">
        <f t="shared" ref="AA3:AG18" si="0">SUMIF($A:$A,$Z3,G:G)</f>
        <v>12</v>
      </c>
      <c r="AB3" s="10">
        <f t="shared" si="0"/>
        <v>10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10</v>
      </c>
    </row>
    <row r="4" spans="1:33" x14ac:dyDescent="0.25">
      <c r="A4" s="34" t="s">
        <v>136</v>
      </c>
      <c r="B4" s="34" t="s">
        <v>116</v>
      </c>
      <c r="C4" s="34" t="s">
        <v>276</v>
      </c>
      <c r="D4" s="34">
        <v>4</v>
      </c>
      <c r="E4" s="34" t="s">
        <v>116</v>
      </c>
      <c r="F4" s="35">
        <v>200</v>
      </c>
      <c r="G4" s="35">
        <v>12</v>
      </c>
      <c r="H4" s="35">
        <v>10</v>
      </c>
      <c r="I4" s="35">
        <v>0</v>
      </c>
      <c r="J4" s="34" t="s">
        <v>116</v>
      </c>
      <c r="K4" s="34" t="s">
        <v>116</v>
      </c>
      <c r="L4" s="34" t="s">
        <v>116</v>
      </c>
      <c r="M4" s="35">
        <v>10</v>
      </c>
      <c r="N4" s="35">
        <v>244</v>
      </c>
      <c r="O4" s="34">
        <v>244</v>
      </c>
      <c r="P4" s="1" t="s">
        <v>316</v>
      </c>
      <c r="Q4" s="34" t="s">
        <v>120</v>
      </c>
      <c r="R4" s="34" t="s">
        <v>102</v>
      </c>
      <c r="S4" s="1">
        <v>44258</v>
      </c>
      <c r="T4" s="34" t="s">
        <v>281</v>
      </c>
      <c r="V4" s="40" t="s">
        <v>281</v>
      </c>
      <c r="W4" s="10">
        <f t="shared" ref="W4:W17" si="1">SUMIF($T:$T,$V4,N:N)</f>
        <v>244</v>
      </c>
      <c r="X4" s="10">
        <f t="shared" ref="X4:X17" si="2">SUMIF($T:$T,$V4,O:O)</f>
        <v>244</v>
      </c>
      <c r="Z4" s="42" t="s">
        <v>137</v>
      </c>
      <c r="AA4" s="10">
        <f t="shared" si="0"/>
        <v>0</v>
      </c>
      <c r="AB4" s="10">
        <f t="shared" si="0"/>
        <v>0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si="0"/>
        <v>0</v>
      </c>
      <c r="AG4" s="10">
        <f t="shared" si="0"/>
        <v>0</v>
      </c>
    </row>
    <row r="5" spans="1:33" x14ac:dyDescent="0.25">
      <c r="A5" s="34" t="s">
        <v>139</v>
      </c>
      <c r="B5" s="34" t="s">
        <v>116</v>
      </c>
      <c r="C5" s="34" t="s">
        <v>303</v>
      </c>
      <c r="D5" s="34">
        <v>2</v>
      </c>
      <c r="E5" s="34" t="s">
        <v>116</v>
      </c>
      <c r="F5" s="35">
        <v>202</v>
      </c>
      <c r="G5" s="35">
        <v>0</v>
      </c>
      <c r="H5" s="35">
        <v>0</v>
      </c>
      <c r="I5" s="35">
        <v>0</v>
      </c>
      <c r="J5" s="34">
        <v>10</v>
      </c>
      <c r="K5" s="34">
        <v>0</v>
      </c>
      <c r="L5" s="34">
        <v>0</v>
      </c>
      <c r="M5" s="35">
        <v>0</v>
      </c>
      <c r="N5" s="35">
        <v>212</v>
      </c>
      <c r="O5" s="34">
        <v>212</v>
      </c>
      <c r="P5" s="1" t="s">
        <v>316</v>
      </c>
      <c r="Q5" s="34" t="s">
        <v>113</v>
      </c>
      <c r="R5" s="34" t="s">
        <v>102</v>
      </c>
      <c r="S5" s="1">
        <v>44258</v>
      </c>
      <c r="T5" s="34" t="s">
        <v>286</v>
      </c>
      <c r="V5" s="39" t="s">
        <v>282</v>
      </c>
      <c r="W5" s="10">
        <f t="shared" si="1"/>
        <v>942</v>
      </c>
      <c r="X5" s="10">
        <f t="shared" si="2"/>
        <v>692</v>
      </c>
      <c r="Z5" s="41" t="s">
        <v>138</v>
      </c>
      <c r="AA5" s="10">
        <f t="shared" si="0"/>
        <v>0</v>
      </c>
      <c r="AB5" s="10">
        <f t="shared" si="0"/>
        <v>0</v>
      </c>
      <c r="AC5" s="10">
        <f t="shared" si="0"/>
        <v>0</v>
      </c>
      <c r="AD5" s="10">
        <f t="shared" si="0"/>
        <v>0</v>
      </c>
      <c r="AE5" s="10">
        <f t="shared" si="0"/>
        <v>0</v>
      </c>
      <c r="AF5" s="10">
        <f t="shared" si="0"/>
        <v>0</v>
      </c>
      <c r="AG5" s="10">
        <f t="shared" si="0"/>
        <v>0</v>
      </c>
    </row>
    <row r="6" spans="1:33" x14ac:dyDescent="0.25">
      <c r="A6" s="34" t="s">
        <v>139</v>
      </c>
      <c r="B6" s="34" t="s">
        <v>116</v>
      </c>
      <c r="C6" s="34" t="s">
        <v>315</v>
      </c>
      <c r="D6" s="34">
        <v>9</v>
      </c>
      <c r="E6" s="34" t="s">
        <v>116</v>
      </c>
      <c r="F6" s="35">
        <v>198.666666666667</v>
      </c>
      <c r="G6" s="35">
        <v>20</v>
      </c>
      <c r="H6" s="35">
        <v>3.3333333333333401</v>
      </c>
      <c r="I6" s="35">
        <v>13.3333333333333</v>
      </c>
      <c r="J6" s="34">
        <v>10</v>
      </c>
      <c r="K6" s="34">
        <v>0</v>
      </c>
      <c r="L6" s="34">
        <v>0</v>
      </c>
      <c r="M6" s="35">
        <v>3.3333333333333401</v>
      </c>
      <c r="N6" s="35">
        <v>252</v>
      </c>
      <c r="O6" s="34">
        <v>252</v>
      </c>
      <c r="P6" s="1" t="s">
        <v>316</v>
      </c>
      <c r="Q6" s="34" t="s">
        <v>113</v>
      </c>
      <c r="R6" s="34" t="s">
        <v>102</v>
      </c>
      <c r="S6" s="1">
        <v>44258</v>
      </c>
      <c r="T6" s="34" t="s">
        <v>286</v>
      </c>
      <c r="V6" s="40" t="s">
        <v>283</v>
      </c>
      <c r="W6" s="10">
        <f t="shared" si="1"/>
        <v>0</v>
      </c>
      <c r="X6" s="10">
        <f t="shared" si="2"/>
        <v>0</v>
      </c>
      <c r="Z6" s="42" t="s">
        <v>139</v>
      </c>
      <c r="AA6" s="10">
        <f t="shared" si="0"/>
        <v>20</v>
      </c>
      <c r="AB6" s="10">
        <f t="shared" si="0"/>
        <v>3.3333333333333401</v>
      </c>
      <c r="AC6" s="10">
        <f t="shared" si="0"/>
        <v>13.3333333333333</v>
      </c>
      <c r="AD6" s="10">
        <f t="shared" si="0"/>
        <v>20</v>
      </c>
      <c r="AE6" s="10">
        <f t="shared" si="0"/>
        <v>0</v>
      </c>
      <c r="AF6" s="10">
        <f t="shared" si="0"/>
        <v>0</v>
      </c>
      <c r="AG6" s="10">
        <f t="shared" si="0"/>
        <v>3.3333333333333401</v>
      </c>
    </row>
    <row r="7" spans="1:33" x14ac:dyDescent="0.25">
      <c r="A7" s="34" t="s">
        <v>143</v>
      </c>
      <c r="B7" s="34">
        <v>112</v>
      </c>
      <c r="C7" s="1">
        <v>44289</v>
      </c>
      <c r="D7" s="34">
        <v>7</v>
      </c>
      <c r="E7" s="34">
        <v>2</v>
      </c>
      <c r="F7" s="35">
        <v>400</v>
      </c>
      <c r="G7" s="35">
        <v>12</v>
      </c>
      <c r="H7" s="35">
        <v>0</v>
      </c>
      <c r="I7" s="35">
        <v>50</v>
      </c>
      <c r="J7" s="34" t="s">
        <v>116</v>
      </c>
      <c r="K7" s="34" t="s">
        <v>116</v>
      </c>
      <c r="L7" s="34" t="s">
        <v>116</v>
      </c>
      <c r="M7" s="35">
        <v>0</v>
      </c>
      <c r="N7" s="35">
        <v>474</v>
      </c>
      <c r="O7" s="34">
        <v>474</v>
      </c>
      <c r="P7" s="1" t="s">
        <v>317</v>
      </c>
      <c r="Q7" s="34" t="s">
        <v>120</v>
      </c>
      <c r="R7" s="34" t="s">
        <v>102</v>
      </c>
      <c r="S7" s="1">
        <v>44259</v>
      </c>
      <c r="T7" s="34" t="s">
        <v>282</v>
      </c>
      <c r="V7" s="39" t="s">
        <v>284</v>
      </c>
      <c r="W7" s="10">
        <f t="shared" si="1"/>
        <v>0</v>
      </c>
      <c r="X7" s="10">
        <f t="shared" si="2"/>
        <v>0</v>
      </c>
      <c r="Z7" s="41" t="s">
        <v>140</v>
      </c>
      <c r="AA7" s="10">
        <f t="shared" si="0"/>
        <v>0</v>
      </c>
      <c r="AB7" s="10">
        <f t="shared" si="0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0"/>
        <v>0</v>
      </c>
      <c r="AG7" s="10">
        <f t="shared" si="0"/>
        <v>0</v>
      </c>
    </row>
    <row r="8" spans="1:33" x14ac:dyDescent="0.25">
      <c r="A8" s="34" t="s">
        <v>146</v>
      </c>
      <c r="B8" s="34">
        <v>3</v>
      </c>
      <c r="C8" s="1">
        <v>44259</v>
      </c>
      <c r="D8" s="34">
        <v>8</v>
      </c>
      <c r="E8" s="34">
        <v>121</v>
      </c>
      <c r="F8" s="35">
        <v>200</v>
      </c>
      <c r="G8" s="35">
        <v>12</v>
      </c>
      <c r="H8" s="35">
        <v>0</v>
      </c>
      <c r="I8" s="35">
        <v>10</v>
      </c>
      <c r="J8" s="34" t="s">
        <v>116</v>
      </c>
      <c r="K8" s="34" t="s">
        <v>116</v>
      </c>
      <c r="L8" s="34" t="s">
        <v>116</v>
      </c>
      <c r="M8" s="35">
        <v>0</v>
      </c>
      <c r="N8" s="35">
        <v>234</v>
      </c>
      <c r="O8" s="34">
        <v>84</v>
      </c>
      <c r="P8" s="1" t="s">
        <v>317</v>
      </c>
      <c r="Q8" s="34" t="s">
        <v>120</v>
      </c>
      <c r="R8" s="34" t="s">
        <v>322</v>
      </c>
      <c r="S8" s="1">
        <v>44260</v>
      </c>
      <c r="T8" s="34" t="s">
        <v>282</v>
      </c>
      <c r="V8" s="40" t="s">
        <v>285</v>
      </c>
      <c r="W8" s="10">
        <f t="shared" si="1"/>
        <v>0</v>
      </c>
      <c r="X8" s="10">
        <f t="shared" si="2"/>
        <v>0</v>
      </c>
      <c r="Z8" s="42" t="s">
        <v>141</v>
      </c>
      <c r="AA8" s="10">
        <f t="shared" si="0"/>
        <v>0</v>
      </c>
      <c r="AB8" s="10">
        <f t="shared" si="0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0"/>
        <v>0</v>
      </c>
      <c r="AG8" s="10">
        <f t="shared" si="0"/>
        <v>0</v>
      </c>
    </row>
    <row r="9" spans="1:33" x14ac:dyDescent="0.25">
      <c r="A9" s="34" t="s">
        <v>146</v>
      </c>
      <c r="B9" s="34">
        <v>3</v>
      </c>
      <c r="C9" s="1">
        <v>44289</v>
      </c>
      <c r="D9" s="34">
        <v>10</v>
      </c>
      <c r="E9" s="34">
        <v>121</v>
      </c>
      <c r="F9" s="35">
        <v>200</v>
      </c>
      <c r="G9" s="35">
        <v>12</v>
      </c>
      <c r="H9" s="35">
        <v>0</v>
      </c>
      <c r="I9" s="35">
        <v>10</v>
      </c>
      <c r="J9" s="34" t="s">
        <v>116</v>
      </c>
      <c r="K9" s="34" t="s">
        <v>116</v>
      </c>
      <c r="L9" s="34" t="s">
        <v>116</v>
      </c>
      <c r="M9" s="35">
        <v>0</v>
      </c>
      <c r="N9" s="35">
        <v>234</v>
      </c>
      <c r="O9" s="34">
        <v>134</v>
      </c>
      <c r="P9" s="1" t="s">
        <v>317</v>
      </c>
      <c r="Q9" s="34" t="s">
        <v>120</v>
      </c>
      <c r="R9" s="34" t="s">
        <v>322</v>
      </c>
      <c r="S9" s="1">
        <v>44260</v>
      </c>
      <c r="T9" s="34" t="s">
        <v>282</v>
      </c>
      <c r="V9" s="39" t="s">
        <v>286</v>
      </c>
      <c r="W9" s="10">
        <f t="shared" si="1"/>
        <v>464</v>
      </c>
      <c r="X9" s="10">
        <f t="shared" si="2"/>
        <v>464</v>
      </c>
      <c r="Z9" s="41" t="s">
        <v>142</v>
      </c>
      <c r="AA9" s="10">
        <f t="shared" si="0"/>
        <v>0</v>
      </c>
      <c r="AB9" s="10">
        <f t="shared" si="0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0"/>
        <v>0</v>
      </c>
      <c r="AG9" s="10">
        <f t="shared" si="0"/>
        <v>0</v>
      </c>
    </row>
    <row r="10" spans="1:33" x14ac:dyDescent="0.25">
      <c r="R10"/>
      <c r="S10"/>
      <c r="V10" s="40" t="s">
        <v>296</v>
      </c>
      <c r="W10" s="10">
        <f t="shared" si="1"/>
        <v>0</v>
      </c>
      <c r="X10" s="10">
        <f t="shared" si="2"/>
        <v>0</v>
      </c>
      <c r="Z10" s="42" t="s">
        <v>143</v>
      </c>
      <c r="AA10" s="10">
        <f t="shared" si="0"/>
        <v>12</v>
      </c>
      <c r="AB10" s="10">
        <f t="shared" si="0"/>
        <v>0</v>
      </c>
      <c r="AC10" s="10">
        <f t="shared" si="0"/>
        <v>50</v>
      </c>
      <c r="AD10" s="10">
        <f t="shared" si="0"/>
        <v>0</v>
      </c>
      <c r="AE10" s="10">
        <f t="shared" si="0"/>
        <v>0</v>
      </c>
      <c r="AF10" s="10">
        <f t="shared" si="0"/>
        <v>0</v>
      </c>
      <c r="AG10" s="10">
        <f t="shared" si="0"/>
        <v>0</v>
      </c>
    </row>
    <row r="11" spans="1:33" x14ac:dyDescent="0.25">
      <c r="R11"/>
      <c r="S11"/>
      <c r="V11" s="39" t="s">
        <v>287</v>
      </c>
      <c r="W11" s="10">
        <f t="shared" si="1"/>
        <v>0</v>
      </c>
      <c r="X11" s="10">
        <f t="shared" si="2"/>
        <v>0</v>
      </c>
      <c r="Z11" s="41" t="s">
        <v>144</v>
      </c>
      <c r="AA11" s="10">
        <f t="shared" si="0"/>
        <v>0</v>
      </c>
      <c r="AB11" s="10">
        <f t="shared" si="0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0"/>
        <v>0</v>
      </c>
      <c r="AG11" s="10">
        <f t="shared" si="0"/>
        <v>0</v>
      </c>
    </row>
    <row r="12" spans="1:33" x14ac:dyDescent="0.25">
      <c r="R12"/>
      <c r="S12"/>
      <c r="V12" s="40" t="s">
        <v>288</v>
      </c>
      <c r="W12" s="10">
        <f t="shared" si="1"/>
        <v>0</v>
      </c>
      <c r="X12" s="10">
        <f t="shared" si="2"/>
        <v>0</v>
      </c>
      <c r="Z12" s="42" t="s">
        <v>145</v>
      </c>
      <c r="AA12" s="10">
        <f t="shared" si="0"/>
        <v>0</v>
      </c>
      <c r="AB12" s="10">
        <f t="shared" si="0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0"/>
        <v>0</v>
      </c>
      <c r="AG12" s="10">
        <f t="shared" si="0"/>
        <v>0</v>
      </c>
    </row>
    <row r="13" spans="1:33" x14ac:dyDescent="0.25">
      <c r="R13"/>
      <c r="S13"/>
      <c r="V13" s="39" t="s">
        <v>289</v>
      </c>
      <c r="W13" s="10">
        <f t="shared" si="1"/>
        <v>0</v>
      </c>
      <c r="X13" s="10">
        <f t="shared" si="2"/>
        <v>0</v>
      </c>
      <c r="Z13" s="41" t="s">
        <v>146</v>
      </c>
      <c r="AA13" s="10">
        <f t="shared" si="0"/>
        <v>24</v>
      </c>
      <c r="AB13" s="10">
        <f t="shared" si="0"/>
        <v>0</v>
      </c>
      <c r="AC13" s="10">
        <f t="shared" si="0"/>
        <v>20</v>
      </c>
      <c r="AD13" s="10">
        <f t="shared" si="0"/>
        <v>0</v>
      </c>
      <c r="AE13" s="10">
        <f t="shared" si="0"/>
        <v>0</v>
      </c>
      <c r="AF13" s="10">
        <f t="shared" si="0"/>
        <v>0</v>
      </c>
      <c r="AG13" s="10">
        <f t="shared" si="0"/>
        <v>0</v>
      </c>
    </row>
    <row r="14" spans="1:33" x14ac:dyDescent="0.25">
      <c r="R14"/>
      <c r="S14"/>
      <c r="V14" s="40" t="s">
        <v>290</v>
      </c>
      <c r="W14" s="10">
        <f t="shared" si="1"/>
        <v>0</v>
      </c>
      <c r="X14" s="10">
        <f t="shared" si="2"/>
        <v>0</v>
      </c>
      <c r="Z14" s="42" t="s">
        <v>147</v>
      </c>
      <c r="AA14" s="10">
        <f t="shared" si="0"/>
        <v>0</v>
      </c>
      <c r="AB14" s="10">
        <f t="shared" si="0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0"/>
        <v>0</v>
      </c>
      <c r="AG14" s="10">
        <f t="shared" si="0"/>
        <v>0</v>
      </c>
    </row>
    <row r="15" spans="1:33" x14ac:dyDescent="0.25">
      <c r="R15"/>
      <c r="S15"/>
      <c r="V15" s="39" t="s">
        <v>291</v>
      </c>
      <c r="W15" s="10">
        <f t="shared" si="1"/>
        <v>0</v>
      </c>
      <c r="X15" s="10">
        <f t="shared" si="2"/>
        <v>0</v>
      </c>
      <c r="Z15" s="41" t="s">
        <v>148</v>
      </c>
      <c r="AA15" s="10">
        <f t="shared" si="0"/>
        <v>0</v>
      </c>
      <c r="AB15" s="10">
        <f t="shared" si="0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0"/>
        <v>0</v>
      </c>
      <c r="AG15" s="10">
        <f t="shared" si="0"/>
        <v>0</v>
      </c>
    </row>
    <row r="16" spans="1:33" x14ac:dyDescent="0.25">
      <c r="R16"/>
      <c r="S16"/>
      <c r="V16" s="40" t="s">
        <v>292</v>
      </c>
      <c r="W16" s="10">
        <f t="shared" si="1"/>
        <v>0</v>
      </c>
      <c r="X16" s="10">
        <f t="shared" si="2"/>
        <v>0</v>
      </c>
      <c r="Z16" s="42" t="s">
        <v>149</v>
      </c>
      <c r="AA16" s="10">
        <f t="shared" si="0"/>
        <v>0</v>
      </c>
      <c r="AB16" s="10">
        <f t="shared" si="0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0"/>
        <v>0</v>
      </c>
      <c r="AG16" s="10">
        <f t="shared" si="0"/>
        <v>0</v>
      </c>
    </row>
    <row r="17" spans="18:33" x14ac:dyDescent="0.25">
      <c r="R17"/>
      <c r="S17"/>
      <c r="V17" s="39" t="s">
        <v>293</v>
      </c>
      <c r="W17" s="10">
        <f t="shared" si="1"/>
        <v>0</v>
      </c>
      <c r="X17" s="10">
        <f t="shared" si="2"/>
        <v>0</v>
      </c>
      <c r="Z17" s="41" t="s">
        <v>150</v>
      </c>
      <c r="AA17" s="10">
        <f t="shared" si="0"/>
        <v>0</v>
      </c>
      <c r="AB17" s="10">
        <f t="shared" si="0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0"/>
        <v>0</v>
      </c>
      <c r="AG17" s="10">
        <f t="shared" si="0"/>
        <v>0</v>
      </c>
    </row>
    <row r="18" spans="18:33" x14ac:dyDescent="0.25">
      <c r="R18"/>
      <c r="S18"/>
      <c r="V18" s="50" t="s">
        <v>318</v>
      </c>
      <c r="W18" s="10">
        <f>SUM(W3:W17)</f>
        <v>1650</v>
      </c>
      <c r="X18" s="10">
        <f>SUM(X2:X17)</f>
        <v>1400</v>
      </c>
      <c r="Z18" s="42" t="s">
        <v>151</v>
      </c>
      <c r="AA18" s="10">
        <f t="shared" si="0"/>
        <v>0</v>
      </c>
      <c r="AB18" s="10">
        <f t="shared" si="0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0"/>
        <v>0</v>
      </c>
      <c r="AG18" s="10">
        <f t="shared" si="0"/>
        <v>0</v>
      </c>
    </row>
    <row r="19" spans="18:33" x14ac:dyDescent="0.25">
      <c r="R19"/>
      <c r="S19"/>
      <c r="W19" s="10"/>
      <c r="X19" s="10"/>
      <c r="Z19" s="41" t="s">
        <v>152</v>
      </c>
      <c r="AA19" s="10">
        <f t="shared" ref="AA19:AG26" si="3">SUMIF($A:$A,$Z19,G:G)</f>
        <v>0</v>
      </c>
      <c r="AB19" s="10">
        <f t="shared" si="3"/>
        <v>0</v>
      </c>
      <c r="AC19" s="10">
        <f t="shared" si="3"/>
        <v>0</v>
      </c>
      <c r="AD19" s="10">
        <f t="shared" si="3"/>
        <v>0</v>
      </c>
      <c r="AE19" s="10">
        <f t="shared" si="3"/>
        <v>0</v>
      </c>
      <c r="AF19" s="10">
        <f t="shared" si="3"/>
        <v>0</v>
      </c>
      <c r="AG19" s="10">
        <f t="shared" si="3"/>
        <v>0</v>
      </c>
    </row>
    <row r="20" spans="18:33" x14ac:dyDescent="0.25">
      <c r="R20"/>
      <c r="S20"/>
      <c r="W20" s="10"/>
      <c r="X20" s="10"/>
      <c r="Z20" s="42" t="s">
        <v>153</v>
      </c>
      <c r="AA20" s="10">
        <f t="shared" si="3"/>
        <v>0</v>
      </c>
      <c r="AB20" s="10">
        <f t="shared" si="3"/>
        <v>0</v>
      </c>
      <c r="AC20" s="10">
        <f t="shared" si="3"/>
        <v>0</v>
      </c>
      <c r="AD20" s="10">
        <f t="shared" si="3"/>
        <v>0</v>
      </c>
      <c r="AE20" s="10">
        <f t="shared" si="3"/>
        <v>0</v>
      </c>
      <c r="AF20" s="10">
        <f t="shared" si="3"/>
        <v>0</v>
      </c>
      <c r="AG20" s="10">
        <f t="shared" si="3"/>
        <v>0</v>
      </c>
    </row>
    <row r="21" spans="18:33" x14ac:dyDescent="0.25">
      <c r="R21"/>
      <c r="S21"/>
      <c r="W21" s="10"/>
      <c r="X21" s="10"/>
      <c r="Z21" s="41" t="s">
        <v>154</v>
      </c>
      <c r="AA21" s="10">
        <f t="shared" si="3"/>
        <v>0</v>
      </c>
      <c r="AB21" s="10">
        <f t="shared" si="3"/>
        <v>0</v>
      </c>
      <c r="AC21" s="10">
        <f t="shared" si="3"/>
        <v>0</v>
      </c>
      <c r="AD21" s="10">
        <f t="shared" si="3"/>
        <v>0</v>
      </c>
      <c r="AE21" s="10">
        <f t="shared" si="3"/>
        <v>0</v>
      </c>
      <c r="AF21" s="10">
        <f t="shared" si="3"/>
        <v>0</v>
      </c>
      <c r="AG21" s="10">
        <f t="shared" si="3"/>
        <v>0</v>
      </c>
    </row>
    <row r="22" spans="18:33" x14ac:dyDescent="0.25">
      <c r="R22"/>
      <c r="S22"/>
      <c r="W22" s="10"/>
      <c r="X22" s="10"/>
      <c r="Z22" s="42" t="s">
        <v>155</v>
      </c>
      <c r="AA22" s="10">
        <f t="shared" si="3"/>
        <v>0</v>
      </c>
      <c r="AB22" s="10">
        <f t="shared" si="3"/>
        <v>0</v>
      </c>
      <c r="AC22" s="10">
        <f t="shared" si="3"/>
        <v>0</v>
      </c>
      <c r="AD22" s="10">
        <f t="shared" si="3"/>
        <v>0</v>
      </c>
      <c r="AE22" s="10">
        <f t="shared" si="3"/>
        <v>0</v>
      </c>
      <c r="AF22" s="10">
        <f t="shared" si="3"/>
        <v>0</v>
      </c>
      <c r="AG22" s="10">
        <f t="shared" si="3"/>
        <v>0</v>
      </c>
    </row>
    <row r="23" spans="18:33" x14ac:dyDescent="0.25">
      <c r="R23"/>
      <c r="S23"/>
      <c r="W23" s="10"/>
      <c r="X23" s="10"/>
      <c r="Z23" s="41" t="s">
        <v>156</v>
      </c>
      <c r="AA23" s="10">
        <f t="shared" si="3"/>
        <v>0</v>
      </c>
      <c r="AB23" s="10">
        <f t="shared" si="3"/>
        <v>0</v>
      </c>
      <c r="AC23" s="10">
        <f t="shared" si="3"/>
        <v>0</v>
      </c>
      <c r="AD23" s="10">
        <f t="shared" si="3"/>
        <v>0</v>
      </c>
      <c r="AE23" s="10">
        <f t="shared" si="3"/>
        <v>0</v>
      </c>
      <c r="AF23" s="10">
        <f t="shared" si="3"/>
        <v>0</v>
      </c>
      <c r="AG23" s="10">
        <f t="shared" si="3"/>
        <v>0</v>
      </c>
    </row>
    <row r="24" spans="18:33" x14ac:dyDescent="0.25">
      <c r="R24"/>
      <c r="S24"/>
      <c r="W24" s="10"/>
      <c r="X24" s="10"/>
      <c r="Z24" s="42" t="s">
        <v>157</v>
      </c>
      <c r="AA24" s="10">
        <f t="shared" si="3"/>
        <v>0</v>
      </c>
      <c r="AB24" s="10">
        <f t="shared" si="3"/>
        <v>0</v>
      </c>
      <c r="AC24" s="10">
        <f t="shared" si="3"/>
        <v>0</v>
      </c>
      <c r="AD24" s="10">
        <f t="shared" si="3"/>
        <v>0</v>
      </c>
      <c r="AE24" s="10">
        <f t="shared" si="3"/>
        <v>0</v>
      </c>
      <c r="AF24" s="10">
        <f t="shared" si="3"/>
        <v>0</v>
      </c>
      <c r="AG24" s="10">
        <f t="shared" si="3"/>
        <v>0</v>
      </c>
    </row>
    <row r="25" spans="18:33" x14ac:dyDescent="0.25">
      <c r="R25"/>
      <c r="S25"/>
      <c r="W25" s="10"/>
      <c r="X25" s="10"/>
      <c r="Z25" s="41" t="s">
        <v>158</v>
      </c>
      <c r="AA25" s="10">
        <f t="shared" si="3"/>
        <v>0</v>
      </c>
      <c r="AB25" s="10">
        <f t="shared" si="3"/>
        <v>0</v>
      </c>
      <c r="AC25" s="10">
        <f t="shared" si="3"/>
        <v>0</v>
      </c>
      <c r="AD25" s="10">
        <f t="shared" si="3"/>
        <v>0</v>
      </c>
      <c r="AE25" s="10">
        <f t="shared" si="3"/>
        <v>0</v>
      </c>
      <c r="AF25" s="10">
        <f t="shared" si="3"/>
        <v>0</v>
      </c>
      <c r="AG25" s="10">
        <f t="shared" si="3"/>
        <v>0</v>
      </c>
    </row>
    <row r="26" spans="18:33" x14ac:dyDescent="0.25">
      <c r="R26"/>
      <c r="S26"/>
      <c r="W26" s="10"/>
      <c r="X26" s="10"/>
      <c r="Z26" s="42" t="s">
        <v>159</v>
      </c>
      <c r="AA26" s="10">
        <f t="shared" si="3"/>
        <v>0</v>
      </c>
      <c r="AB26" s="10">
        <f t="shared" si="3"/>
        <v>0</v>
      </c>
      <c r="AC26" s="10">
        <f t="shared" si="3"/>
        <v>0</v>
      </c>
      <c r="AD26" s="10">
        <f t="shared" si="3"/>
        <v>0</v>
      </c>
      <c r="AE26" s="10">
        <f t="shared" si="3"/>
        <v>0</v>
      </c>
      <c r="AF26" s="10">
        <f t="shared" si="3"/>
        <v>0</v>
      </c>
      <c r="AG26" s="10">
        <f t="shared" si="3"/>
        <v>0</v>
      </c>
    </row>
    <row r="27" spans="18:33" x14ac:dyDescent="0.25">
      <c r="R27"/>
      <c r="S27"/>
      <c r="W27" s="10"/>
      <c r="X27" s="10"/>
      <c r="Z27" t="s">
        <v>318</v>
      </c>
      <c r="AA27" s="10">
        <v>68</v>
      </c>
      <c r="AB27" s="10">
        <v>13.333333333333339</v>
      </c>
      <c r="AC27" s="10">
        <v>83.3333333333333</v>
      </c>
      <c r="AD27" s="10">
        <v>20</v>
      </c>
      <c r="AE27" s="10">
        <v>0</v>
      </c>
      <c r="AF27" s="10">
        <v>0</v>
      </c>
      <c r="AG27" s="10">
        <v>13.333333333333339</v>
      </c>
    </row>
    <row r="28" spans="18:33" x14ac:dyDescent="0.25">
      <c r="R28"/>
      <c r="S28"/>
    </row>
    <row r="29" spans="18:33" x14ac:dyDescent="0.25">
      <c r="R29"/>
      <c r="S29"/>
    </row>
    <row r="30" spans="18:33" x14ac:dyDescent="0.25">
      <c r="R30"/>
      <c r="S30"/>
    </row>
    <row r="31" spans="18:33" x14ac:dyDescent="0.25">
      <c r="R31"/>
      <c r="S31"/>
    </row>
    <row r="32" spans="18:33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"/>
  <sheetViews>
    <sheetView showGridLines="0" workbookViewId="0">
      <selection sqref="A1:XFD1048576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67"/>
      <c r="H2" s="67"/>
      <c r="I2" s="67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topLeftCell="Y16" workbookViewId="0">
      <selection activeCell="AG28" sqref="AG28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1.85546875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10" customWidth="1"/>
    <col min="23" max="23" width="10.85546875" customWidth="1"/>
    <col min="24" max="24" width="35" bestFit="1" customWidth="1"/>
    <col min="25" max="25" width="17.140625" style="10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60" t="s">
        <v>329</v>
      </c>
      <c r="V1" s="60"/>
      <c r="W1" s="60"/>
    </row>
    <row r="2" spans="1:33" x14ac:dyDescent="0.25">
      <c r="U2" s="33" t="s">
        <v>320</v>
      </c>
      <c r="V2" s="65" t="s">
        <v>318</v>
      </c>
      <c r="X2" s="33" t="s">
        <v>331</v>
      </c>
      <c r="Y2" s="33" t="s">
        <v>118</v>
      </c>
      <c r="Z2" s="33" t="s">
        <v>62</v>
      </c>
      <c r="AA2" s="33" t="s">
        <v>65</v>
      </c>
      <c r="AB2" s="33" t="s">
        <v>66</v>
      </c>
      <c r="AC2" s="33" t="s">
        <v>119</v>
      </c>
      <c r="AD2" s="33" t="s">
        <v>100</v>
      </c>
      <c r="AE2" s="33" t="s">
        <v>117</v>
      </c>
      <c r="AF2" s="33" t="s">
        <v>67</v>
      </c>
      <c r="AG2" s="33" t="s">
        <v>68</v>
      </c>
    </row>
    <row r="3" spans="1:33" x14ac:dyDescent="0.25">
      <c r="A3" s="24" t="s">
        <v>109</v>
      </c>
      <c r="B3" s="24" t="s">
        <v>52</v>
      </c>
      <c r="C3" s="24" t="s">
        <v>112</v>
      </c>
      <c r="D3" s="24" t="s">
        <v>88</v>
      </c>
      <c r="E3" s="24" t="s">
        <v>118</v>
      </c>
      <c r="F3" s="24" t="s">
        <v>62</v>
      </c>
      <c r="G3" s="24" t="s">
        <v>65</v>
      </c>
      <c r="H3" s="24" t="s">
        <v>66</v>
      </c>
      <c r="I3" s="24" t="s">
        <v>119</v>
      </c>
      <c r="J3" s="24" t="s">
        <v>100</v>
      </c>
      <c r="K3" s="24" t="s">
        <v>117</v>
      </c>
      <c r="L3" s="24" t="s">
        <v>67</v>
      </c>
      <c r="M3" s="24" t="s">
        <v>68</v>
      </c>
      <c r="N3" s="24" t="s">
        <v>110</v>
      </c>
      <c r="O3" s="24" t="s">
        <v>111</v>
      </c>
      <c r="P3" s="24" t="s">
        <v>101</v>
      </c>
      <c r="Q3" s="24" t="s">
        <v>114</v>
      </c>
      <c r="R3" s="24" t="s">
        <v>86</v>
      </c>
      <c r="U3" s="39" t="s">
        <v>280</v>
      </c>
      <c r="V3" s="10">
        <f>SUMIF($R:$R,$U3,$M:$M)</f>
        <v>232</v>
      </c>
      <c r="X3" s="41" t="s">
        <v>136</v>
      </c>
      <c r="Y3" s="10">
        <f>SUMIF($A:$A,$X3,E:E)</f>
        <v>0</v>
      </c>
      <c r="Z3" s="10">
        <f>SUMIF($A:$A,$X3,F:F)</f>
        <v>0</v>
      </c>
      <c r="AA3" s="10">
        <f>SUMIF($A:$A,$X3,G:G)</f>
        <v>0</v>
      </c>
      <c r="AB3" s="10">
        <f t="shared" ref="Z3:AG18" si="0">SUMIF($A:$A,$X3,H:H)</f>
        <v>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0</v>
      </c>
    </row>
    <row r="4" spans="1:33" x14ac:dyDescent="0.25">
      <c r="A4" s="34" t="s">
        <v>139</v>
      </c>
      <c r="B4" s="34">
        <v>2</v>
      </c>
      <c r="C4" s="34" t="s">
        <v>116</v>
      </c>
      <c r="D4" s="34" t="s">
        <v>303</v>
      </c>
      <c r="E4" s="35">
        <v>101</v>
      </c>
      <c r="F4" s="35">
        <v>0</v>
      </c>
      <c r="G4" s="35">
        <v>0</v>
      </c>
      <c r="H4" s="35">
        <v>0</v>
      </c>
      <c r="I4" s="34">
        <v>10</v>
      </c>
      <c r="J4" s="34">
        <v>0</v>
      </c>
      <c r="K4" s="34">
        <v>0</v>
      </c>
      <c r="L4" s="35">
        <v>0</v>
      </c>
      <c r="M4" s="35">
        <v>111</v>
      </c>
      <c r="N4" s="1" t="s">
        <v>316</v>
      </c>
      <c r="O4" s="34" t="s">
        <v>113</v>
      </c>
      <c r="P4" s="34" t="s">
        <v>102</v>
      </c>
      <c r="Q4" s="34" t="s">
        <v>316</v>
      </c>
      <c r="R4" s="34" t="s">
        <v>286</v>
      </c>
      <c r="S4" s="34"/>
      <c r="T4" s="34"/>
      <c r="U4" s="40" t="s">
        <v>281</v>
      </c>
      <c r="V4" s="10">
        <f t="shared" ref="V4:V17" si="1">SUMIF($R:$R,$U4,$M:$M)</f>
        <v>0</v>
      </c>
      <c r="X4" s="42" t="s">
        <v>137</v>
      </c>
      <c r="Y4" s="10">
        <f t="shared" ref="Y4:Y26" si="2">SUMIF($A:$A,$X4,E:E)</f>
        <v>0</v>
      </c>
      <c r="Z4" s="10">
        <f t="shared" ref="Z4:Z26" si="3">SUMIF($A:$A,$X4,F:F)</f>
        <v>0</v>
      </c>
      <c r="AA4" s="10">
        <f t="shared" ref="AA4:AG26" si="4">SUMIF($A:$A,$X4,G:G)</f>
        <v>0</v>
      </c>
      <c r="AB4" s="10">
        <f t="shared" si="0"/>
        <v>0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si="0"/>
        <v>0</v>
      </c>
      <c r="AG4" s="10">
        <f t="shared" si="0"/>
        <v>0</v>
      </c>
    </row>
    <row r="5" spans="1:33" x14ac:dyDescent="0.25">
      <c r="A5" s="34" t="s">
        <v>139</v>
      </c>
      <c r="B5" s="34">
        <v>3</v>
      </c>
      <c r="C5" s="34" t="s">
        <v>116</v>
      </c>
      <c r="D5" s="34" t="s">
        <v>301</v>
      </c>
      <c r="E5" s="35">
        <v>103</v>
      </c>
      <c r="F5" s="35">
        <v>13</v>
      </c>
      <c r="G5" s="35">
        <v>0</v>
      </c>
      <c r="H5" s="35">
        <v>0</v>
      </c>
      <c r="I5" s="34" t="s">
        <v>116</v>
      </c>
      <c r="J5" s="34" t="s">
        <v>116</v>
      </c>
      <c r="K5" s="34" t="s">
        <v>116</v>
      </c>
      <c r="L5" s="35">
        <v>0</v>
      </c>
      <c r="M5" s="35">
        <v>116</v>
      </c>
      <c r="N5" s="1" t="s">
        <v>316</v>
      </c>
      <c r="O5" s="34" t="s">
        <v>120</v>
      </c>
      <c r="P5" s="34" t="s">
        <v>102</v>
      </c>
      <c r="Q5" s="34" t="s">
        <v>116</v>
      </c>
      <c r="R5" s="34" t="s">
        <v>280</v>
      </c>
      <c r="S5" s="34"/>
      <c r="T5" s="34"/>
      <c r="U5" s="39" t="s">
        <v>282</v>
      </c>
      <c r="V5" s="10">
        <f t="shared" si="1"/>
        <v>172</v>
      </c>
      <c r="X5" s="41" t="s">
        <v>138</v>
      </c>
      <c r="Y5" s="10">
        <f t="shared" si="2"/>
        <v>0</v>
      </c>
      <c r="Z5" s="10">
        <f t="shared" si="3"/>
        <v>0</v>
      </c>
      <c r="AA5" s="10">
        <f t="shared" si="4"/>
        <v>0</v>
      </c>
      <c r="AB5" s="10">
        <f t="shared" si="0"/>
        <v>0</v>
      </c>
      <c r="AC5" s="10">
        <f t="shared" si="0"/>
        <v>0</v>
      </c>
      <c r="AD5" s="10">
        <f t="shared" si="0"/>
        <v>0</v>
      </c>
      <c r="AE5" s="10">
        <f t="shared" si="0"/>
        <v>0</v>
      </c>
      <c r="AF5" s="10">
        <f t="shared" si="0"/>
        <v>0</v>
      </c>
      <c r="AG5" s="10">
        <f t="shared" si="0"/>
        <v>0</v>
      </c>
    </row>
    <row r="6" spans="1:33" x14ac:dyDescent="0.25">
      <c r="A6" s="34" t="s">
        <v>139</v>
      </c>
      <c r="B6" s="34">
        <v>5</v>
      </c>
      <c r="C6" s="34" t="s">
        <v>116</v>
      </c>
      <c r="D6" s="34" t="s">
        <v>301</v>
      </c>
      <c r="E6" s="35">
        <v>105</v>
      </c>
      <c r="F6" s="35">
        <v>13</v>
      </c>
      <c r="G6" s="35">
        <v>0</v>
      </c>
      <c r="H6" s="35">
        <v>0</v>
      </c>
      <c r="I6" s="34" t="s">
        <v>116</v>
      </c>
      <c r="J6" s="34" t="s">
        <v>116</v>
      </c>
      <c r="K6" s="34" t="s">
        <v>116</v>
      </c>
      <c r="L6" s="35">
        <v>0</v>
      </c>
      <c r="M6" s="35">
        <v>116</v>
      </c>
      <c r="N6" s="1" t="s">
        <v>316</v>
      </c>
      <c r="O6" s="34" t="s">
        <v>120</v>
      </c>
      <c r="P6" s="34" t="s">
        <v>102</v>
      </c>
      <c r="Q6" s="34" t="s">
        <v>330</v>
      </c>
      <c r="R6" s="34" t="s">
        <v>280</v>
      </c>
      <c r="S6" s="34"/>
      <c r="T6" s="34"/>
      <c r="U6" s="40" t="s">
        <v>283</v>
      </c>
      <c r="V6" s="10">
        <f t="shared" si="1"/>
        <v>0</v>
      </c>
      <c r="X6" s="42" t="s">
        <v>139</v>
      </c>
      <c r="Y6" s="10">
        <f t="shared" si="2"/>
        <v>309</v>
      </c>
      <c r="Z6" s="10">
        <f t="shared" si="3"/>
        <v>26</v>
      </c>
      <c r="AA6" s="10">
        <f t="shared" si="4"/>
        <v>0</v>
      </c>
      <c r="AB6" s="10">
        <f t="shared" si="0"/>
        <v>0</v>
      </c>
      <c r="AC6" s="10">
        <f t="shared" si="0"/>
        <v>10</v>
      </c>
      <c r="AD6" s="10">
        <f t="shared" si="0"/>
        <v>0</v>
      </c>
      <c r="AE6" s="10">
        <f t="shared" si="0"/>
        <v>0</v>
      </c>
      <c r="AF6" s="10">
        <f t="shared" si="0"/>
        <v>0</v>
      </c>
      <c r="AG6" s="10">
        <f t="shared" si="0"/>
        <v>343</v>
      </c>
    </row>
    <row r="7" spans="1:33" x14ac:dyDescent="0.25">
      <c r="A7" s="34" t="s">
        <v>146</v>
      </c>
      <c r="B7" s="34">
        <v>8</v>
      </c>
      <c r="C7" s="34" t="s">
        <v>116</v>
      </c>
      <c r="D7" s="1">
        <v>44289</v>
      </c>
      <c r="E7" s="35">
        <v>150</v>
      </c>
      <c r="F7" s="35">
        <v>12</v>
      </c>
      <c r="G7" s="35">
        <v>0</v>
      </c>
      <c r="H7" s="35">
        <v>10</v>
      </c>
      <c r="I7" s="34" t="s">
        <v>116</v>
      </c>
      <c r="J7" s="34" t="s">
        <v>116</v>
      </c>
      <c r="K7" s="34" t="s">
        <v>116</v>
      </c>
      <c r="L7" s="35">
        <v>0</v>
      </c>
      <c r="M7" s="35">
        <v>172</v>
      </c>
      <c r="N7" s="1" t="s">
        <v>317</v>
      </c>
      <c r="O7" s="34" t="s">
        <v>120</v>
      </c>
      <c r="P7" s="34" t="s">
        <v>102</v>
      </c>
      <c r="Q7" s="34" t="s">
        <v>330</v>
      </c>
      <c r="R7" s="34" t="s">
        <v>282</v>
      </c>
      <c r="S7" s="34"/>
      <c r="T7" s="34"/>
      <c r="U7" s="39" t="s">
        <v>284</v>
      </c>
      <c r="V7" s="10">
        <f t="shared" si="1"/>
        <v>0</v>
      </c>
      <c r="X7" s="41" t="s">
        <v>140</v>
      </c>
      <c r="Y7" s="10">
        <f t="shared" si="2"/>
        <v>0</v>
      </c>
      <c r="Z7" s="10">
        <f t="shared" si="3"/>
        <v>0</v>
      </c>
      <c r="AA7" s="10">
        <f t="shared" si="4"/>
        <v>0</v>
      </c>
      <c r="AB7" s="10">
        <f t="shared" si="0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0"/>
        <v>0</v>
      </c>
      <c r="AG7" s="10">
        <f t="shared" si="0"/>
        <v>0</v>
      </c>
    </row>
    <row r="8" spans="1:33" x14ac:dyDescent="0.25">
      <c r="S8" s="34"/>
      <c r="T8" s="34"/>
      <c r="U8" s="40" t="s">
        <v>285</v>
      </c>
      <c r="V8" s="10">
        <f t="shared" si="1"/>
        <v>0</v>
      </c>
      <c r="X8" s="42" t="s">
        <v>141</v>
      </c>
      <c r="Y8" s="10">
        <f t="shared" si="2"/>
        <v>0</v>
      </c>
      <c r="Z8" s="10">
        <f t="shared" si="3"/>
        <v>0</v>
      </c>
      <c r="AA8" s="10">
        <f t="shared" si="4"/>
        <v>0</v>
      </c>
      <c r="AB8" s="10">
        <f t="shared" si="0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0"/>
        <v>0</v>
      </c>
      <c r="AG8" s="10">
        <f t="shared" si="0"/>
        <v>0</v>
      </c>
    </row>
    <row r="9" spans="1:33" x14ac:dyDescent="0.25">
      <c r="S9" s="34"/>
      <c r="T9" s="34"/>
      <c r="U9" s="39" t="s">
        <v>286</v>
      </c>
      <c r="V9" s="10">
        <f t="shared" si="1"/>
        <v>111</v>
      </c>
      <c r="X9" s="41" t="s">
        <v>142</v>
      </c>
      <c r="Y9" s="10">
        <f t="shared" si="2"/>
        <v>0</v>
      </c>
      <c r="Z9" s="10">
        <f t="shared" si="3"/>
        <v>0</v>
      </c>
      <c r="AA9" s="10">
        <f t="shared" si="4"/>
        <v>0</v>
      </c>
      <c r="AB9" s="10">
        <f t="shared" si="0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0"/>
        <v>0</v>
      </c>
      <c r="AG9" s="10">
        <f t="shared" si="0"/>
        <v>0</v>
      </c>
    </row>
    <row r="10" spans="1:33" x14ac:dyDescent="0.25">
      <c r="S10" s="34"/>
      <c r="T10" s="34"/>
      <c r="U10" s="40" t="s">
        <v>296</v>
      </c>
      <c r="V10" s="10">
        <f t="shared" si="1"/>
        <v>0</v>
      </c>
      <c r="X10" s="42" t="s">
        <v>143</v>
      </c>
      <c r="Y10" s="10">
        <f t="shared" si="2"/>
        <v>0</v>
      </c>
      <c r="Z10" s="10">
        <f t="shared" si="3"/>
        <v>0</v>
      </c>
      <c r="AA10" s="10">
        <f t="shared" si="4"/>
        <v>0</v>
      </c>
      <c r="AB10" s="10">
        <f t="shared" si="0"/>
        <v>0</v>
      </c>
      <c r="AC10" s="10">
        <f t="shared" si="0"/>
        <v>0</v>
      </c>
      <c r="AD10" s="10">
        <f t="shared" si="0"/>
        <v>0</v>
      </c>
      <c r="AE10" s="10">
        <f t="shared" si="0"/>
        <v>0</v>
      </c>
      <c r="AF10" s="10">
        <f t="shared" si="0"/>
        <v>0</v>
      </c>
      <c r="AG10" s="10">
        <f t="shared" si="0"/>
        <v>0</v>
      </c>
    </row>
    <row r="11" spans="1:33" x14ac:dyDescent="0.25">
      <c r="S11" s="34"/>
      <c r="T11" s="34"/>
      <c r="U11" s="39" t="s">
        <v>287</v>
      </c>
      <c r="V11" s="10">
        <f t="shared" si="1"/>
        <v>0</v>
      </c>
      <c r="X11" s="41" t="s">
        <v>144</v>
      </c>
      <c r="Y11" s="10">
        <f t="shared" si="2"/>
        <v>0</v>
      </c>
      <c r="Z11" s="10">
        <f t="shared" si="3"/>
        <v>0</v>
      </c>
      <c r="AA11" s="10">
        <f t="shared" si="4"/>
        <v>0</v>
      </c>
      <c r="AB11" s="10">
        <f t="shared" si="0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0"/>
        <v>0</v>
      </c>
      <c r="AG11" s="10">
        <f t="shared" si="0"/>
        <v>0</v>
      </c>
    </row>
    <row r="12" spans="1:33" x14ac:dyDescent="0.25">
      <c r="S12" s="34"/>
      <c r="T12" s="34"/>
      <c r="U12" s="40" t="s">
        <v>288</v>
      </c>
      <c r="V12" s="10">
        <f t="shared" si="1"/>
        <v>0</v>
      </c>
      <c r="X12" s="42" t="s">
        <v>145</v>
      </c>
      <c r="Y12" s="10">
        <f t="shared" si="2"/>
        <v>0</v>
      </c>
      <c r="Z12" s="10">
        <f t="shared" si="3"/>
        <v>0</v>
      </c>
      <c r="AA12" s="10">
        <f t="shared" si="4"/>
        <v>0</v>
      </c>
      <c r="AB12" s="10">
        <f t="shared" si="0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0"/>
        <v>0</v>
      </c>
      <c r="AG12" s="10">
        <f t="shared" si="0"/>
        <v>0</v>
      </c>
    </row>
    <row r="13" spans="1:33" x14ac:dyDescent="0.25">
      <c r="S13" s="34"/>
      <c r="T13" s="34"/>
      <c r="U13" s="39" t="s">
        <v>289</v>
      </c>
      <c r="V13" s="10">
        <f t="shared" si="1"/>
        <v>0</v>
      </c>
      <c r="X13" s="41" t="s">
        <v>146</v>
      </c>
      <c r="Y13" s="10">
        <f t="shared" si="2"/>
        <v>150</v>
      </c>
      <c r="Z13" s="10">
        <f t="shared" si="3"/>
        <v>12</v>
      </c>
      <c r="AA13" s="10">
        <f t="shared" si="4"/>
        <v>0</v>
      </c>
      <c r="AB13" s="10">
        <f t="shared" si="0"/>
        <v>10</v>
      </c>
      <c r="AC13" s="10">
        <f t="shared" si="0"/>
        <v>0</v>
      </c>
      <c r="AD13" s="10">
        <f t="shared" si="0"/>
        <v>0</v>
      </c>
      <c r="AE13" s="10">
        <f t="shared" si="0"/>
        <v>0</v>
      </c>
      <c r="AF13" s="10">
        <f t="shared" si="0"/>
        <v>0</v>
      </c>
      <c r="AG13" s="10">
        <f t="shared" si="0"/>
        <v>172</v>
      </c>
    </row>
    <row r="14" spans="1:33" x14ac:dyDescent="0.25">
      <c r="S14" s="34"/>
      <c r="T14" s="34"/>
      <c r="U14" s="40" t="s">
        <v>290</v>
      </c>
      <c r="V14" s="10">
        <f t="shared" si="1"/>
        <v>0</v>
      </c>
      <c r="X14" s="42" t="s">
        <v>147</v>
      </c>
      <c r="Y14" s="10">
        <f t="shared" si="2"/>
        <v>0</v>
      </c>
      <c r="Z14" s="10">
        <f t="shared" si="3"/>
        <v>0</v>
      </c>
      <c r="AA14" s="10">
        <f t="shared" si="4"/>
        <v>0</v>
      </c>
      <c r="AB14" s="10">
        <f t="shared" si="0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0"/>
        <v>0</v>
      </c>
      <c r="AG14" s="10">
        <f t="shared" si="0"/>
        <v>0</v>
      </c>
    </row>
    <row r="15" spans="1:33" x14ac:dyDescent="0.25">
      <c r="S15" s="34"/>
      <c r="T15" s="34"/>
      <c r="U15" s="39" t="s">
        <v>291</v>
      </c>
      <c r="V15" s="10">
        <f t="shared" si="1"/>
        <v>0</v>
      </c>
      <c r="X15" s="41" t="s">
        <v>148</v>
      </c>
      <c r="Y15" s="10">
        <f t="shared" si="2"/>
        <v>0</v>
      </c>
      <c r="Z15" s="10">
        <f t="shared" si="3"/>
        <v>0</v>
      </c>
      <c r="AA15" s="10">
        <f t="shared" si="4"/>
        <v>0</v>
      </c>
      <c r="AB15" s="10">
        <f t="shared" si="0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0"/>
        <v>0</v>
      </c>
      <c r="AG15" s="10">
        <f t="shared" si="0"/>
        <v>0</v>
      </c>
    </row>
    <row r="16" spans="1:33" x14ac:dyDescent="0.25">
      <c r="S16" s="34"/>
      <c r="T16" s="34"/>
      <c r="U16" s="40" t="s">
        <v>292</v>
      </c>
      <c r="V16" s="10">
        <f t="shared" si="1"/>
        <v>0</v>
      </c>
      <c r="X16" s="42" t="s">
        <v>149</v>
      </c>
      <c r="Y16" s="10">
        <f t="shared" si="2"/>
        <v>0</v>
      </c>
      <c r="Z16" s="10">
        <f t="shared" si="3"/>
        <v>0</v>
      </c>
      <c r="AA16" s="10">
        <f t="shared" si="4"/>
        <v>0</v>
      </c>
      <c r="AB16" s="10">
        <f t="shared" si="0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0"/>
        <v>0</v>
      </c>
      <c r="AG16" s="10">
        <f t="shared" si="0"/>
        <v>0</v>
      </c>
    </row>
    <row r="17" spans="19:33" x14ac:dyDescent="0.25">
      <c r="S17" s="34"/>
      <c r="T17" s="34"/>
      <c r="U17" s="39" t="s">
        <v>293</v>
      </c>
      <c r="V17" s="10">
        <f t="shared" si="1"/>
        <v>0</v>
      </c>
      <c r="X17" s="41" t="s">
        <v>150</v>
      </c>
      <c r="Y17" s="10">
        <f t="shared" si="2"/>
        <v>0</v>
      </c>
      <c r="Z17" s="10">
        <f t="shared" si="3"/>
        <v>0</v>
      </c>
      <c r="AA17" s="10">
        <f t="shared" si="4"/>
        <v>0</v>
      </c>
      <c r="AB17" s="10">
        <f t="shared" si="0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0"/>
        <v>0</v>
      </c>
      <c r="AG17" s="10">
        <f t="shared" si="0"/>
        <v>0</v>
      </c>
    </row>
    <row r="18" spans="19:33" x14ac:dyDescent="0.25">
      <c r="X18" s="42" t="s">
        <v>151</v>
      </c>
      <c r="Y18" s="10">
        <f t="shared" si="2"/>
        <v>0</v>
      </c>
      <c r="Z18" s="10">
        <f t="shared" si="3"/>
        <v>0</v>
      </c>
      <c r="AA18" s="10">
        <f t="shared" si="4"/>
        <v>0</v>
      </c>
      <c r="AB18" s="10">
        <f t="shared" si="0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0"/>
        <v>0</v>
      </c>
      <c r="AG18" s="10">
        <f t="shared" si="0"/>
        <v>0</v>
      </c>
    </row>
    <row r="19" spans="19:33" x14ac:dyDescent="0.25">
      <c r="X19" s="41" t="s">
        <v>152</v>
      </c>
      <c r="Y19" s="10">
        <f t="shared" si="2"/>
        <v>0</v>
      </c>
      <c r="Z19" s="10">
        <f t="shared" si="3"/>
        <v>0</v>
      </c>
      <c r="AA19" s="10">
        <f t="shared" si="4"/>
        <v>0</v>
      </c>
      <c r="AB19" s="10">
        <f t="shared" si="4"/>
        <v>0</v>
      </c>
      <c r="AC19" s="10">
        <f t="shared" si="4"/>
        <v>0</v>
      </c>
      <c r="AD19" s="10">
        <f t="shared" si="4"/>
        <v>0</v>
      </c>
      <c r="AE19" s="10">
        <f t="shared" si="4"/>
        <v>0</v>
      </c>
      <c r="AF19" s="10">
        <f t="shared" si="4"/>
        <v>0</v>
      </c>
      <c r="AG19" s="10">
        <f t="shared" si="4"/>
        <v>0</v>
      </c>
    </row>
    <row r="20" spans="19:33" x14ac:dyDescent="0.25">
      <c r="X20" s="42" t="s">
        <v>153</v>
      </c>
      <c r="Y20" s="10">
        <f t="shared" si="2"/>
        <v>0</v>
      </c>
      <c r="Z20" s="10">
        <f t="shared" si="3"/>
        <v>0</v>
      </c>
      <c r="AA20" s="10">
        <f t="shared" si="4"/>
        <v>0</v>
      </c>
      <c r="AB20" s="10">
        <f t="shared" si="4"/>
        <v>0</v>
      </c>
      <c r="AC20" s="10">
        <f t="shared" si="4"/>
        <v>0</v>
      </c>
      <c r="AD20" s="10">
        <f t="shared" si="4"/>
        <v>0</v>
      </c>
      <c r="AE20" s="10">
        <f t="shared" si="4"/>
        <v>0</v>
      </c>
      <c r="AF20" s="10">
        <f t="shared" si="4"/>
        <v>0</v>
      </c>
      <c r="AG20" s="10">
        <f t="shared" si="4"/>
        <v>0</v>
      </c>
    </row>
    <row r="21" spans="19:33" x14ac:dyDescent="0.25">
      <c r="X21" s="41" t="s">
        <v>154</v>
      </c>
      <c r="Y21" s="10">
        <f t="shared" si="2"/>
        <v>0</v>
      </c>
      <c r="Z21" s="10">
        <f t="shared" si="3"/>
        <v>0</v>
      </c>
      <c r="AA21" s="10">
        <f t="shared" si="4"/>
        <v>0</v>
      </c>
      <c r="AB21" s="10">
        <f t="shared" si="4"/>
        <v>0</v>
      </c>
      <c r="AC21" s="10">
        <f t="shared" si="4"/>
        <v>0</v>
      </c>
      <c r="AD21" s="10">
        <f t="shared" si="4"/>
        <v>0</v>
      </c>
      <c r="AE21" s="10">
        <f t="shared" si="4"/>
        <v>0</v>
      </c>
      <c r="AF21" s="10">
        <f t="shared" si="4"/>
        <v>0</v>
      </c>
      <c r="AG21" s="10">
        <f t="shared" si="4"/>
        <v>0</v>
      </c>
    </row>
    <row r="22" spans="19:33" x14ac:dyDescent="0.25">
      <c r="X22" s="42" t="s">
        <v>155</v>
      </c>
      <c r="Y22" s="10">
        <f t="shared" si="2"/>
        <v>0</v>
      </c>
      <c r="Z22" s="10">
        <f t="shared" si="3"/>
        <v>0</v>
      </c>
      <c r="AA22" s="10">
        <f t="shared" si="4"/>
        <v>0</v>
      </c>
      <c r="AB22" s="10">
        <f t="shared" si="4"/>
        <v>0</v>
      </c>
      <c r="AC22" s="10">
        <f t="shared" si="4"/>
        <v>0</v>
      </c>
      <c r="AD22" s="10">
        <f t="shared" si="4"/>
        <v>0</v>
      </c>
      <c r="AE22" s="10">
        <f t="shared" si="4"/>
        <v>0</v>
      </c>
      <c r="AF22" s="10">
        <f t="shared" si="4"/>
        <v>0</v>
      </c>
      <c r="AG22" s="10">
        <f t="shared" si="4"/>
        <v>0</v>
      </c>
    </row>
    <row r="23" spans="19:33" x14ac:dyDescent="0.25">
      <c r="X23" s="41" t="s">
        <v>156</v>
      </c>
      <c r="Y23" s="10">
        <f t="shared" si="2"/>
        <v>0</v>
      </c>
      <c r="Z23" s="10">
        <f t="shared" si="3"/>
        <v>0</v>
      </c>
      <c r="AA23" s="10">
        <f t="shared" si="4"/>
        <v>0</v>
      </c>
      <c r="AB23" s="10">
        <f t="shared" si="4"/>
        <v>0</v>
      </c>
      <c r="AC23" s="10">
        <f t="shared" si="4"/>
        <v>0</v>
      </c>
      <c r="AD23" s="10">
        <f t="shared" si="4"/>
        <v>0</v>
      </c>
      <c r="AE23" s="10">
        <f t="shared" si="4"/>
        <v>0</v>
      </c>
      <c r="AF23" s="10">
        <f t="shared" si="4"/>
        <v>0</v>
      </c>
      <c r="AG23" s="10">
        <f t="shared" si="4"/>
        <v>0</v>
      </c>
    </row>
    <row r="24" spans="19:33" x14ac:dyDescent="0.25">
      <c r="X24" s="42" t="s">
        <v>157</v>
      </c>
      <c r="Y24" s="10">
        <f t="shared" si="2"/>
        <v>0</v>
      </c>
      <c r="Z24" s="10">
        <f t="shared" si="3"/>
        <v>0</v>
      </c>
      <c r="AA24" s="10">
        <f t="shared" si="4"/>
        <v>0</v>
      </c>
      <c r="AB24" s="10">
        <f t="shared" si="4"/>
        <v>0</v>
      </c>
      <c r="AC24" s="10">
        <f t="shared" si="4"/>
        <v>0</v>
      </c>
      <c r="AD24" s="10">
        <f t="shared" si="4"/>
        <v>0</v>
      </c>
      <c r="AE24" s="10">
        <f t="shared" si="4"/>
        <v>0</v>
      </c>
      <c r="AF24" s="10">
        <f t="shared" si="4"/>
        <v>0</v>
      </c>
      <c r="AG24" s="10">
        <f t="shared" si="4"/>
        <v>0</v>
      </c>
    </row>
    <row r="25" spans="19:33" x14ac:dyDescent="0.25">
      <c r="X25" s="41" t="s">
        <v>158</v>
      </c>
      <c r="Y25" s="10">
        <f t="shared" si="2"/>
        <v>0</v>
      </c>
      <c r="Z25" s="10">
        <f t="shared" si="3"/>
        <v>0</v>
      </c>
      <c r="AA25" s="10">
        <f t="shared" si="4"/>
        <v>0</v>
      </c>
      <c r="AB25" s="10">
        <f t="shared" si="4"/>
        <v>0</v>
      </c>
      <c r="AC25" s="10">
        <f t="shared" si="4"/>
        <v>0</v>
      </c>
      <c r="AD25" s="10">
        <f t="shared" si="4"/>
        <v>0</v>
      </c>
      <c r="AE25" s="10">
        <f t="shared" si="4"/>
        <v>0</v>
      </c>
      <c r="AF25" s="10">
        <f t="shared" si="4"/>
        <v>0</v>
      </c>
      <c r="AG25" s="10">
        <f t="shared" si="4"/>
        <v>0</v>
      </c>
    </row>
    <row r="26" spans="19:33" x14ac:dyDescent="0.25">
      <c r="X26" s="42" t="s">
        <v>159</v>
      </c>
      <c r="Y26" s="10">
        <f t="shared" si="2"/>
        <v>0</v>
      </c>
      <c r="Z26" s="10">
        <f t="shared" si="3"/>
        <v>0</v>
      </c>
      <c r="AA26" s="10">
        <f t="shared" si="4"/>
        <v>0</v>
      </c>
      <c r="AB26" s="10">
        <f t="shared" si="4"/>
        <v>0</v>
      </c>
      <c r="AC26" s="10">
        <f t="shared" si="4"/>
        <v>0</v>
      </c>
      <c r="AD26" s="10">
        <f t="shared" si="4"/>
        <v>0</v>
      </c>
      <c r="AE26" s="10">
        <f t="shared" si="4"/>
        <v>0</v>
      </c>
      <c r="AF26" s="10">
        <f t="shared" si="4"/>
        <v>0</v>
      </c>
      <c r="AG26" s="10">
        <f t="shared" si="4"/>
        <v>0</v>
      </c>
    </row>
    <row r="27" spans="19:33" x14ac:dyDescent="0.25">
      <c r="AF27" t="s">
        <v>318</v>
      </c>
      <c r="AG27" s="10">
        <v>515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9" spans="15:17" ht="15.75" x14ac:dyDescent="0.25">
      <c r="O19" s="66"/>
      <c r="P19" s="66"/>
      <c r="Q19" s="66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7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7" t="s">
        <v>91</v>
      </c>
      <c r="C1" t="s">
        <v>95</v>
      </c>
      <c r="D1" t="s">
        <v>81</v>
      </c>
      <c r="E1" t="s">
        <v>96</v>
      </c>
      <c r="F1" t="s">
        <v>97</v>
      </c>
    </row>
    <row r="2" spans="1:6" x14ac:dyDescent="0.25">
      <c r="A2" t="s">
        <v>124</v>
      </c>
      <c r="B2" s="37" t="s">
        <v>280</v>
      </c>
      <c r="C2" t="s">
        <v>265</v>
      </c>
      <c r="D2" s="19">
        <v>1.3</v>
      </c>
      <c r="E2" s="19">
        <v>50</v>
      </c>
      <c r="F2" s="19">
        <v>150</v>
      </c>
    </row>
    <row r="3" spans="1:6" x14ac:dyDescent="0.25">
      <c r="A3" s="34" t="s">
        <v>255</v>
      </c>
      <c r="B3" s="37" t="s">
        <v>281</v>
      </c>
      <c r="C3" s="34" t="s">
        <v>266</v>
      </c>
      <c r="D3" s="19">
        <v>1.2</v>
      </c>
      <c r="E3" s="19">
        <v>0</v>
      </c>
      <c r="F3" s="19">
        <v>180</v>
      </c>
    </row>
    <row r="4" spans="1:6" x14ac:dyDescent="0.25">
      <c r="A4" s="34" t="s">
        <v>256</v>
      </c>
      <c r="B4" s="37" t="s">
        <v>282</v>
      </c>
      <c r="C4" s="34" t="s">
        <v>267</v>
      </c>
      <c r="D4" s="19">
        <v>1.2</v>
      </c>
      <c r="E4" s="19">
        <v>60</v>
      </c>
      <c r="F4" s="19">
        <v>150</v>
      </c>
    </row>
    <row r="5" spans="1:6" x14ac:dyDescent="0.25">
      <c r="A5" s="34" t="s">
        <v>123</v>
      </c>
      <c r="B5" s="37" t="s">
        <v>283</v>
      </c>
      <c r="C5" s="34" t="s">
        <v>268</v>
      </c>
      <c r="D5" s="19">
        <v>0</v>
      </c>
      <c r="E5" s="19">
        <v>50</v>
      </c>
      <c r="F5" s="19">
        <v>120</v>
      </c>
    </row>
    <row r="6" spans="1:6" x14ac:dyDescent="0.25">
      <c r="A6" s="34" t="s">
        <v>257</v>
      </c>
      <c r="B6" s="37" t="s">
        <v>284</v>
      </c>
      <c r="C6" s="34" t="s">
        <v>269</v>
      </c>
      <c r="D6" s="19">
        <v>0</v>
      </c>
      <c r="E6" s="19">
        <v>70</v>
      </c>
      <c r="F6" s="19">
        <v>200</v>
      </c>
    </row>
    <row r="7" spans="1:6" x14ac:dyDescent="0.25">
      <c r="A7" s="34" t="s">
        <v>258</v>
      </c>
      <c r="B7" s="37" t="s">
        <v>285</v>
      </c>
      <c r="C7" s="34" t="s">
        <v>270</v>
      </c>
      <c r="D7" s="19">
        <v>0</v>
      </c>
      <c r="E7" s="19">
        <v>60</v>
      </c>
      <c r="F7" s="19">
        <v>150</v>
      </c>
    </row>
    <row r="8" spans="1:6" x14ac:dyDescent="0.25">
      <c r="A8" s="34" t="s">
        <v>259</v>
      </c>
      <c r="B8" s="37" t="s">
        <v>286</v>
      </c>
      <c r="C8" s="34" t="s">
        <v>271</v>
      </c>
      <c r="D8" s="19">
        <v>0</v>
      </c>
      <c r="E8" s="19">
        <v>0</v>
      </c>
      <c r="F8" s="19">
        <v>120</v>
      </c>
    </row>
    <row r="9" spans="1:6" x14ac:dyDescent="0.25">
      <c r="A9" s="34" t="s">
        <v>260</v>
      </c>
      <c r="B9" s="37" t="s">
        <v>296</v>
      </c>
      <c r="C9" s="34" t="s">
        <v>265</v>
      </c>
      <c r="D9" s="19">
        <v>1.2</v>
      </c>
      <c r="E9" s="19">
        <v>80</v>
      </c>
      <c r="F9" s="19">
        <v>160</v>
      </c>
    </row>
    <row r="10" spans="1:6" x14ac:dyDescent="0.25">
      <c r="A10" s="34" t="s">
        <v>260</v>
      </c>
      <c r="B10" s="37" t="s">
        <v>287</v>
      </c>
      <c r="C10" s="34" t="s">
        <v>265</v>
      </c>
      <c r="D10" s="19">
        <v>1.2</v>
      </c>
      <c r="E10" s="19">
        <v>70</v>
      </c>
      <c r="F10" s="19">
        <v>150</v>
      </c>
    </row>
    <row r="11" spans="1:6" x14ac:dyDescent="0.25">
      <c r="A11" s="34" t="s">
        <v>260</v>
      </c>
      <c r="B11" s="37" t="s">
        <v>288</v>
      </c>
      <c r="C11" s="34" t="s">
        <v>265</v>
      </c>
      <c r="D11" s="19">
        <v>1.25</v>
      </c>
      <c r="E11" s="19">
        <v>80</v>
      </c>
      <c r="F11" s="19">
        <v>160</v>
      </c>
    </row>
    <row r="12" spans="1:6" x14ac:dyDescent="0.25">
      <c r="A12" s="34" t="s">
        <v>261</v>
      </c>
      <c r="B12" s="37" t="s">
        <v>289</v>
      </c>
      <c r="C12" s="34" t="s">
        <v>272</v>
      </c>
      <c r="D12" s="19">
        <v>0</v>
      </c>
      <c r="E12" s="19">
        <v>70</v>
      </c>
      <c r="F12" s="19">
        <v>150</v>
      </c>
    </row>
    <row r="13" spans="1:6" x14ac:dyDescent="0.25">
      <c r="A13" s="34" t="s">
        <v>262</v>
      </c>
      <c r="B13" s="37" t="s">
        <v>290</v>
      </c>
      <c r="C13" s="34" t="s">
        <v>273</v>
      </c>
      <c r="D13" s="19">
        <v>1.5</v>
      </c>
      <c r="E13" s="19">
        <v>35</v>
      </c>
      <c r="F13" s="19">
        <v>0</v>
      </c>
    </row>
    <row r="14" spans="1:6" x14ac:dyDescent="0.25">
      <c r="A14" s="34" t="s">
        <v>260</v>
      </c>
      <c r="B14" s="37" t="s">
        <v>291</v>
      </c>
      <c r="C14" s="34" t="s">
        <v>265</v>
      </c>
      <c r="D14" s="19">
        <v>1.1000000000000001</v>
      </c>
      <c r="E14" s="19">
        <v>50</v>
      </c>
      <c r="F14" s="19">
        <v>120</v>
      </c>
    </row>
    <row r="15" spans="1:6" x14ac:dyDescent="0.25">
      <c r="A15" s="34" t="s">
        <v>263</v>
      </c>
      <c r="B15" s="37" t="s">
        <v>292</v>
      </c>
      <c r="C15" s="34" t="s">
        <v>274</v>
      </c>
      <c r="D15" s="19">
        <v>0</v>
      </c>
      <c r="E15" s="19">
        <v>0</v>
      </c>
      <c r="F15" s="19">
        <v>0</v>
      </c>
    </row>
    <row r="16" spans="1:6" x14ac:dyDescent="0.25">
      <c r="A16" s="34" t="s">
        <v>264</v>
      </c>
      <c r="B16" s="37" t="s">
        <v>293</v>
      </c>
      <c r="C16" s="34" t="s">
        <v>275</v>
      </c>
      <c r="D16" s="19">
        <v>0</v>
      </c>
      <c r="E16" s="19">
        <v>0</v>
      </c>
      <c r="F16" s="19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7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4" customFormat="1" ht="30" customHeight="1" x14ac:dyDescent="0.25">
      <c r="A1" s="38" t="s">
        <v>91</v>
      </c>
      <c r="B1" s="33" t="s">
        <v>92</v>
      </c>
      <c r="C1" s="33" t="s">
        <v>93</v>
      </c>
      <c r="D1" s="33" t="s">
        <v>94</v>
      </c>
      <c r="E1" s="33" t="s">
        <v>69</v>
      </c>
    </row>
    <row r="2" spans="1:5" x14ac:dyDescent="0.25">
      <c r="A2" s="37" t="s">
        <v>136</v>
      </c>
      <c r="B2" t="s">
        <v>160</v>
      </c>
      <c r="C2" t="s">
        <v>184</v>
      </c>
      <c r="D2" t="s">
        <v>208</v>
      </c>
      <c r="E2" t="s">
        <v>231</v>
      </c>
    </row>
    <row r="3" spans="1:5" x14ac:dyDescent="0.25">
      <c r="A3" s="37" t="s">
        <v>137</v>
      </c>
      <c r="B3" t="s">
        <v>161</v>
      </c>
      <c r="C3" t="s">
        <v>185</v>
      </c>
      <c r="D3" t="s">
        <v>209</v>
      </c>
      <c r="E3" t="s">
        <v>232</v>
      </c>
    </row>
    <row r="4" spans="1:5" x14ac:dyDescent="0.25">
      <c r="A4" s="37" t="s">
        <v>138</v>
      </c>
      <c r="B4" t="s">
        <v>162</v>
      </c>
      <c r="C4" t="s">
        <v>186</v>
      </c>
      <c r="D4" t="s">
        <v>210</v>
      </c>
      <c r="E4" t="s">
        <v>233</v>
      </c>
    </row>
    <row r="5" spans="1:5" x14ac:dyDescent="0.25">
      <c r="A5" s="37" t="s">
        <v>139</v>
      </c>
      <c r="B5" t="s">
        <v>163</v>
      </c>
      <c r="C5" t="s">
        <v>187</v>
      </c>
      <c r="D5" t="s">
        <v>211</v>
      </c>
      <c r="E5" t="s">
        <v>234</v>
      </c>
    </row>
    <row r="6" spans="1:5" x14ac:dyDescent="0.25">
      <c r="A6" s="37" t="s">
        <v>140</v>
      </c>
      <c r="B6" t="s">
        <v>164</v>
      </c>
      <c r="C6" t="s">
        <v>188</v>
      </c>
      <c r="D6" t="s">
        <v>212</v>
      </c>
      <c r="E6" t="s">
        <v>235</v>
      </c>
    </row>
    <row r="7" spans="1:5" x14ac:dyDescent="0.25">
      <c r="A7" s="37" t="s">
        <v>141</v>
      </c>
      <c r="B7" t="s">
        <v>165</v>
      </c>
      <c r="C7" t="s">
        <v>189</v>
      </c>
      <c r="D7" t="s">
        <v>213</v>
      </c>
      <c r="E7" t="s">
        <v>236</v>
      </c>
    </row>
    <row r="8" spans="1:5" x14ac:dyDescent="0.25">
      <c r="A8" s="37" t="s">
        <v>142</v>
      </c>
      <c r="B8" t="s">
        <v>166</v>
      </c>
      <c r="C8" t="s">
        <v>190</v>
      </c>
      <c r="D8" t="s">
        <v>214</v>
      </c>
      <c r="E8" t="s">
        <v>237</v>
      </c>
    </row>
    <row r="9" spans="1:5" x14ac:dyDescent="0.25">
      <c r="A9" s="37" t="s">
        <v>143</v>
      </c>
      <c r="B9" t="s">
        <v>167</v>
      </c>
      <c r="C9" t="s">
        <v>191</v>
      </c>
      <c r="D9" t="s">
        <v>215</v>
      </c>
      <c r="E9" t="s">
        <v>238</v>
      </c>
    </row>
    <row r="10" spans="1:5" x14ac:dyDescent="0.25">
      <c r="A10" s="37" t="s">
        <v>144</v>
      </c>
      <c r="B10" t="s">
        <v>168</v>
      </c>
      <c r="C10" t="s">
        <v>192</v>
      </c>
      <c r="D10" t="s">
        <v>216</v>
      </c>
      <c r="E10" t="s">
        <v>239</v>
      </c>
    </row>
    <row r="11" spans="1:5" x14ac:dyDescent="0.25">
      <c r="A11" s="37" t="s">
        <v>145</v>
      </c>
      <c r="B11" t="s">
        <v>169</v>
      </c>
      <c r="C11" t="s">
        <v>193</v>
      </c>
      <c r="D11" t="s">
        <v>217</v>
      </c>
      <c r="E11" t="s">
        <v>240</v>
      </c>
    </row>
    <row r="12" spans="1:5" x14ac:dyDescent="0.25">
      <c r="A12" s="37" t="s">
        <v>146</v>
      </c>
      <c r="B12" t="s">
        <v>170</v>
      </c>
      <c r="C12" t="s">
        <v>194</v>
      </c>
      <c r="D12" t="s">
        <v>218</v>
      </c>
      <c r="E12" t="s">
        <v>241</v>
      </c>
    </row>
    <row r="13" spans="1:5" x14ac:dyDescent="0.25">
      <c r="A13" s="37" t="s">
        <v>147</v>
      </c>
      <c r="B13" t="s">
        <v>171</v>
      </c>
      <c r="C13" t="s">
        <v>195</v>
      </c>
      <c r="D13" t="s">
        <v>219</v>
      </c>
      <c r="E13" t="s">
        <v>242</v>
      </c>
    </row>
    <row r="14" spans="1:5" x14ac:dyDescent="0.25">
      <c r="A14" s="37" t="s">
        <v>148</v>
      </c>
      <c r="B14" t="s">
        <v>172</v>
      </c>
      <c r="C14" t="s">
        <v>196</v>
      </c>
      <c r="D14" t="s">
        <v>220</v>
      </c>
      <c r="E14" t="s">
        <v>243</v>
      </c>
    </row>
    <row r="15" spans="1:5" x14ac:dyDescent="0.25">
      <c r="A15" s="37" t="s">
        <v>149</v>
      </c>
      <c r="B15" t="s">
        <v>173</v>
      </c>
      <c r="C15" t="s">
        <v>197</v>
      </c>
      <c r="D15" t="s">
        <v>221</v>
      </c>
      <c r="E15" t="s">
        <v>244</v>
      </c>
    </row>
    <row r="16" spans="1:5" x14ac:dyDescent="0.25">
      <c r="A16" s="37" t="s">
        <v>150</v>
      </c>
      <c r="B16" t="s">
        <v>174</v>
      </c>
      <c r="C16" t="s">
        <v>198</v>
      </c>
      <c r="D16" t="s">
        <v>222</v>
      </c>
      <c r="E16" t="s">
        <v>245</v>
      </c>
    </row>
    <row r="17" spans="1:5" x14ac:dyDescent="0.25">
      <c r="A17" s="37" t="s">
        <v>151</v>
      </c>
      <c r="B17" t="s">
        <v>175</v>
      </c>
      <c r="C17" t="s">
        <v>199</v>
      </c>
      <c r="D17" t="s">
        <v>223</v>
      </c>
      <c r="E17" t="s">
        <v>246</v>
      </c>
    </row>
    <row r="18" spans="1:5" x14ac:dyDescent="0.25">
      <c r="A18" s="37" t="s">
        <v>152</v>
      </c>
      <c r="B18" t="s">
        <v>176</v>
      </c>
      <c r="C18" t="s">
        <v>200</v>
      </c>
      <c r="D18" t="s">
        <v>224</v>
      </c>
      <c r="E18" t="s">
        <v>247</v>
      </c>
    </row>
    <row r="19" spans="1:5" x14ac:dyDescent="0.25">
      <c r="A19" s="37" t="s">
        <v>153</v>
      </c>
      <c r="B19" t="s">
        <v>177</v>
      </c>
      <c r="C19" t="s">
        <v>201</v>
      </c>
      <c r="D19" t="s">
        <v>225</v>
      </c>
      <c r="E19" t="s">
        <v>248</v>
      </c>
    </row>
    <row r="20" spans="1:5" x14ac:dyDescent="0.25">
      <c r="A20" s="37" t="s">
        <v>154</v>
      </c>
      <c r="B20" t="s">
        <v>178</v>
      </c>
      <c r="C20" t="s">
        <v>202</v>
      </c>
      <c r="D20" t="s">
        <v>226</v>
      </c>
      <c r="E20" t="s">
        <v>249</v>
      </c>
    </row>
    <row r="21" spans="1:5" x14ac:dyDescent="0.25">
      <c r="A21" s="37" t="s">
        <v>155</v>
      </c>
      <c r="B21" t="s">
        <v>179</v>
      </c>
      <c r="C21" t="s">
        <v>203</v>
      </c>
      <c r="D21" t="s">
        <v>227</v>
      </c>
      <c r="E21" t="s">
        <v>250</v>
      </c>
    </row>
    <row r="22" spans="1:5" x14ac:dyDescent="0.25">
      <c r="A22" s="37" t="s">
        <v>156</v>
      </c>
      <c r="B22" t="s">
        <v>180</v>
      </c>
      <c r="C22" t="s">
        <v>204</v>
      </c>
      <c r="D22" t="s">
        <v>228</v>
      </c>
      <c r="E22" t="s">
        <v>251</v>
      </c>
    </row>
    <row r="23" spans="1:5" x14ac:dyDescent="0.25">
      <c r="A23" s="37" t="s">
        <v>157</v>
      </c>
      <c r="B23" t="s">
        <v>181</v>
      </c>
      <c r="C23" t="s">
        <v>205</v>
      </c>
      <c r="D23" t="s">
        <v>229</v>
      </c>
      <c r="E23" t="s">
        <v>252</v>
      </c>
    </row>
    <row r="24" spans="1:5" x14ac:dyDescent="0.25">
      <c r="A24" s="37" t="s">
        <v>158</v>
      </c>
      <c r="B24" t="s">
        <v>182</v>
      </c>
      <c r="C24" t="s">
        <v>206</v>
      </c>
      <c r="D24" t="s">
        <v>230</v>
      </c>
      <c r="E24" t="s">
        <v>253</v>
      </c>
    </row>
    <row r="25" spans="1:5" x14ac:dyDescent="0.25">
      <c r="A25" s="37" t="s">
        <v>159</v>
      </c>
      <c r="B25" t="s">
        <v>183</v>
      </c>
      <c r="C25" t="s">
        <v>207</v>
      </c>
      <c r="D25" t="s">
        <v>228</v>
      </c>
      <c r="E25" t="s">
        <v>254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83</v>
      </c>
    </row>
    <row r="2" spans="1:1" x14ac:dyDescent="0.25">
      <c r="A2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72</v>
      </c>
    </row>
    <row r="4" spans="1:1" x14ac:dyDescent="0.25">
      <c r="A4" t="s">
        <v>73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74</v>
      </c>
    </row>
    <row r="2" spans="1:1" x14ac:dyDescent="0.25">
      <c r="A2" t="s">
        <v>82</v>
      </c>
    </row>
    <row r="3" spans="1:1" x14ac:dyDescent="0.25">
      <c r="A3" t="s">
        <v>75</v>
      </c>
    </row>
    <row r="4" spans="1:1" x14ac:dyDescent="0.25">
      <c r="A4" t="s">
        <v>77</v>
      </c>
    </row>
    <row r="5" spans="1:1" x14ac:dyDescent="0.25">
      <c r="A5" t="s">
        <v>78</v>
      </c>
    </row>
    <row r="6" spans="1:1" x14ac:dyDescent="0.25">
      <c r="A6" t="s">
        <v>79</v>
      </c>
    </row>
    <row r="7" spans="1:1" x14ac:dyDescent="0.25">
      <c r="A7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16</vt:i4>
      </vt:variant>
    </vt:vector>
  </HeadingPairs>
  <TitlesOfParts>
    <vt:vector size="37" baseType="lpstr">
      <vt:lpstr>Inicial</vt:lpstr>
      <vt:lpstr>Vistoria</vt:lpstr>
      <vt:lpstr>CadPenhor</vt:lpstr>
      <vt:lpstr>CadPericia</vt:lpstr>
      <vt:lpstr>DashResultado</vt:lpstr>
      <vt:lpstr>RelContasApagar</vt:lpstr>
      <vt:lpstr>ContasApagar</vt:lpstr>
      <vt:lpstr>RelContasAReceber</vt:lpstr>
      <vt:lpstr>ContasAreceber</vt:lpstr>
      <vt:lpstr>TbDinamicaReceber</vt:lpstr>
      <vt:lpstr>DashboardAReceber</vt:lpstr>
      <vt:lpstr>TbDinamicaApagar</vt:lpstr>
      <vt:lpstr>DashboardApagar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cidades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2021-03-06T03:31:14Z</cp:lastPrinted>
  <dcterms:created xsi:type="dcterms:W3CDTF">2021-01-16T20:15:46Z</dcterms:created>
  <dcterms:modified xsi:type="dcterms:W3CDTF">2021-03-06T05:51:37Z</dcterms:modified>
</cp:coreProperties>
</file>