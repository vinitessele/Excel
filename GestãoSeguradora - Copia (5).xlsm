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slicers/slicer2.xml" ContentType="application/vnd.ms-excel.slicer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VNT- Tecnologia\Excel\"/>
    </mc:Choice>
  </mc:AlternateContent>
  <xr:revisionPtr revIDLastSave="0" documentId="13_ncr:1_{78C98042-8A5B-4E1B-BA48-8CC36DC0A0BA}" xr6:coauthVersionLast="46" xr6:coauthVersionMax="46" xr10:uidLastSave="{00000000-0000-0000-0000-000000000000}"/>
  <bookViews>
    <workbookView xWindow="-120" yWindow="-120" windowWidth="20730" windowHeight="11160" xr2:uid="{E0D4B125-8ABE-41E3-AD67-A9BA722874B8}"/>
  </bookViews>
  <sheets>
    <sheet name="Inicial" sheetId="2" r:id="rId1"/>
    <sheet name="Vistoria" sheetId="25" r:id="rId2"/>
    <sheet name="CadPenhor" sheetId="5" r:id="rId3"/>
    <sheet name="CadPericia" sheetId="6" r:id="rId4"/>
    <sheet name="ContasApagar" sheetId="16" r:id="rId5"/>
    <sheet name="ContasAreceber" sheetId="17" r:id="rId6"/>
    <sheet name="TbDinamicaReceber" sheetId="23" r:id="rId7"/>
    <sheet name="DashboardAReceber" sheetId="22" r:id="rId8"/>
    <sheet name="TbDinamicaApagar" sheetId="24" r:id="rId9"/>
    <sheet name="DashboardApagar" sheetId="21" r:id="rId10"/>
    <sheet name="RelContasApagar" sheetId="18" r:id="rId11"/>
    <sheet name="RelContasAReceber" sheetId="20" r:id="rId12"/>
    <sheet name="CadSeguradora" sheetId="1" r:id="rId13"/>
    <sheet name="CadPerito" sheetId="7" r:id="rId14"/>
    <sheet name="Cidades" sheetId="4" r:id="rId15"/>
    <sheet name="Cultura" sheetId="11" r:id="rId16"/>
    <sheet name="Sinistro" sheetId="10" r:id="rId17"/>
    <sheet name="TipoBenSeg" sheetId="8" r:id="rId18"/>
    <sheet name="TipoVistoria" sheetId="9" r:id="rId19"/>
    <sheet name="Estados" sheetId="3" r:id="rId20"/>
  </sheets>
  <definedNames>
    <definedName name="_xlnm._FilterDatabase" localSheetId="2" hidden="1">CadPenhor!$A$1:$AJ$3</definedName>
    <definedName name="_xlnm._FilterDatabase" localSheetId="3" hidden="1">CadPericia!$A$1:$AE$6</definedName>
    <definedName name="_xlnm._FilterDatabase" localSheetId="4" hidden="1">ContasApagar!$A$1:$R$5</definedName>
    <definedName name="_xlnm._FilterDatabase" localSheetId="5" hidden="1">ContasAreceber!$A$1:$U$7</definedName>
    <definedName name="_xlnm._FilterDatabase" localSheetId="10" hidden="1">RelContasApagar!$A$7:$R$7</definedName>
    <definedName name="_xlnm._FilterDatabase" localSheetId="11" hidden="1">RelContasAReceber!$A$7:$R$7</definedName>
    <definedName name="_xlnm.Extract" localSheetId="3">CadPericia!#REF!</definedName>
    <definedName name="_xlnm.Extract" localSheetId="0">Inicial!#REF!</definedName>
    <definedName name="_xlnm.Extract" localSheetId="10">RelContasApagar!$A$7:$R$7</definedName>
    <definedName name="_xlnm.Extract" localSheetId="11">RelContasAReceber!$A$7:$R$7</definedName>
    <definedName name="cidades">Cidades!$A:$A</definedName>
    <definedName name="_xlnm.Criteria" localSheetId="3">CadPericia!#REF!</definedName>
    <definedName name="_xlnm.Criteria" localSheetId="0">Inicial!$J$2:$N$3</definedName>
    <definedName name="_xlnm.Criteria" localSheetId="10">RelContasApagar!$V$2:$Y$3</definedName>
    <definedName name="_xlnm.Criteria" localSheetId="11">RelContasAReceber!$H$2:$K$3</definedName>
    <definedName name="_xlnm.Criteria" localSheetId="1">Vistoria!$F$2:$L$3</definedName>
    <definedName name="Cultura">Cultura!$A:$A</definedName>
    <definedName name="NativeTimeline_DT_LANCAMENTO">#N/A</definedName>
    <definedName name="NativeTimeline_DT_VISTORIA">#N/A</definedName>
    <definedName name="NativeTimeline_DT_VISTORIA1">#N/A</definedName>
    <definedName name="NativeTimeline_DT_VISTORIA3">#N/A</definedName>
    <definedName name="Perito">CadPerito!$A:$A</definedName>
    <definedName name="SegmentaçãodeDados_PERITO">#N/A</definedName>
    <definedName name="SegmentaçãodeDados_PERITO1">#N/A</definedName>
    <definedName name="SegmentaçãodeDados_SEGURADORA">#N/A</definedName>
    <definedName name="SegmentaçãodeDados_SEGURADORA1">#N/A</definedName>
    <definedName name="SegmentaçãodeDados_STATUS">#N/A</definedName>
    <definedName name="SegmentaçãodeDados_STATUS1">#N/A</definedName>
    <definedName name="SegmentaçãodeDados_TIPO">#N/A</definedName>
    <definedName name="SeguradoPenhor">CadPenhor!$G:$G</definedName>
    <definedName name="SeguradoPericia">CadPericia!$H:$H</definedName>
    <definedName name="Seguradora">CadSeguradora!$B:$B</definedName>
    <definedName name="TipoBen">TipoBenSeg!$A:$A</definedName>
    <definedName name="TipoServicos">Sinistro!$A:$A</definedName>
    <definedName name="TipoVistoria">TipoVistoria!$A:$A</definedName>
    <definedName name="uf">Estados!$A$1:$A$27</definedName>
  </definedNames>
  <calcPr calcId="181029"/>
  <pivotCaches>
    <pivotCache cacheId="0" r:id="rId21"/>
    <pivotCache cacheId="1" r:id="rId22"/>
    <pivotCache cacheId="413" r:id="rId23"/>
  </pivotCaches>
  <extLst>
    <ext xmlns:x14="http://schemas.microsoft.com/office/spreadsheetml/2009/9/main" uri="{876F7934-8845-4945-9796-88D515C7AA90}">
      <x14:pivotCaches>
        <pivotCache cacheId="136" r:id="rId24"/>
      </x14:pivotCaches>
    </ext>
    <ext xmlns:x14="http://schemas.microsoft.com/office/spreadsheetml/2009/9/main" uri="{BBE1A952-AA13-448e-AADC-164F8A28A991}">
      <x14:slicerCaches>
        <x14:slicerCache r:id="rId25"/>
        <x14:slicerCache r:id="rId26"/>
        <x14:slicerCache r:id="rId27"/>
        <x14:slicerCache r:id="rId28"/>
        <x14:slicerCache r:id="rId29"/>
        <x14:slicerCache r:id="rId30"/>
        <x14:slicerCache r:id="rId3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2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4" i="23" l="1"/>
  <c r="AG5" i="23"/>
  <c r="AG6" i="23"/>
  <c r="AG7" i="23"/>
  <c r="AG8" i="23"/>
  <c r="AG9" i="23"/>
  <c r="AG10" i="23"/>
  <c r="AG11" i="23"/>
  <c r="AG12" i="23"/>
  <c r="AG13" i="23"/>
  <c r="AG14" i="23"/>
  <c r="AG15" i="23"/>
  <c r="AG16" i="23"/>
  <c r="AG17" i="23"/>
  <c r="AG18" i="23"/>
  <c r="AG19" i="23"/>
  <c r="AG20" i="23"/>
  <c r="AG21" i="23"/>
  <c r="AG22" i="23"/>
  <c r="AG23" i="23"/>
  <c r="AG24" i="23"/>
  <c r="AG25" i="23"/>
  <c r="AG26" i="23"/>
  <c r="AF4" i="23"/>
  <c r="AF5" i="23"/>
  <c r="AF6" i="23"/>
  <c r="AF7" i="23"/>
  <c r="AF8" i="23"/>
  <c r="AF9" i="23"/>
  <c r="AF10" i="23"/>
  <c r="AF11" i="23"/>
  <c r="AF12" i="23"/>
  <c r="AF13" i="23"/>
  <c r="AF14" i="23"/>
  <c r="AF15" i="23"/>
  <c r="AF16" i="23"/>
  <c r="AF17" i="23"/>
  <c r="AF18" i="23"/>
  <c r="AF19" i="23"/>
  <c r="AF20" i="23"/>
  <c r="AF21" i="23"/>
  <c r="AF22" i="23"/>
  <c r="AF23" i="23"/>
  <c r="AF24" i="23"/>
  <c r="AF25" i="23"/>
  <c r="AF26" i="23"/>
  <c r="AE4" i="23"/>
  <c r="AE5" i="23"/>
  <c r="AE6" i="23"/>
  <c r="AE7" i="23"/>
  <c r="AE8" i="23"/>
  <c r="AE9" i="23"/>
  <c r="AE10" i="23"/>
  <c r="AE11" i="23"/>
  <c r="AE12" i="23"/>
  <c r="AE13" i="23"/>
  <c r="AE14" i="23"/>
  <c r="AE15" i="23"/>
  <c r="AE16" i="23"/>
  <c r="AE17" i="23"/>
  <c r="AE18" i="23"/>
  <c r="AE19" i="23"/>
  <c r="AE20" i="23"/>
  <c r="AE21" i="23"/>
  <c r="AE22" i="23"/>
  <c r="AE23" i="23"/>
  <c r="AE24" i="23"/>
  <c r="AE25" i="23"/>
  <c r="AE26" i="23"/>
  <c r="AD4" i="23"/>
  <c r="AD5" i="23"/>
  <c r="AD6" i="23"/>
  <c r="AD7" i="23"/>
  <c r="AD8" i="23"/>
  <c r="AD9" i="23"/>
  <c r="AD10" i="23"/>
  <c r="AD11" i="23"/>
  <c r="AD12" i="23"/>
  <c r="AD13" i="23"/>
  <c r="AD14" i="23"/>
  <c r="AD15" i="23"/>
  <c r="AD16" i="23"/>
  <c r="AD17" i="23"/>
  <c r="AD18" i="23"/>
  <c r="AD19" i="23"/>
  <c r="AD20" i="23"/>
  <c r="AD21" i="23"/>
  <c r="AD22" i="23"/>
  <c r="AD23" i="23"/>
  <c r="AD24" i="23"/>
  <c r="AD25" i="23"/>
  <c r="AD26" i="23"/>
  <c r="AC4" i="23"/>
  <c r="AC5" i="23"/>
  <c r="AC6" i="23"/>
  <c r="AC7" i="23"/>
  <c r="AC8" i="23"/>
  <c r="AC9" i="23"/>
  <c r="AC10" i="23"/>
  <c r="AC11" i="23"/>
  <c r="AC12" i="23"/>
  <c r="AC13" i="23"/>
  <c r="AC14" i="23"/>
  <c r="AC15" i="23"/>
  <c r="AC16" i="23"/>
  <c r="AC17" i="23"/>
  <c r="AC18" i="23"/>
  <c r="AC19" i="23"/>
  <c r="AC20" i="23"/>
  <c r="AC21" i="23"/>
  <c r="AC22" i="23"/>
  <c r="AC23" i="23"/>
  <c r="AC24" i="23"/>
  <c r="AC25" i="23"/>
  <c r="AC26" i="23"/>
  <c r="AB4" i="23"/>
  <c r="AB5" i="23"/>
  <c r="AB6" i="23"/>
  <c r="AB7" i="23"/>
  <c r="AB8" i="23"/>
  <c r="AB9" i="23"/>
  <c r="AB10" i="23"/>
  <c r="AB11" i="23"/>
  <c r="AB12" i="23"/>
  <c r="AB13" i="23"/>
  <c r="AB14" i="23"/>
  <c r="AB15" i="23"/>
  <c r="AB16" i="23"/>
  <c r="AB17" i="23"/>
  <c r="AB18" i="23"/>
  <c r="AB19" i="23"/>
  <c r="AB20" i="23"/>
  <c r="AB21" i="23"/>
  <c r="AB22" i="23"/>
  <c r="AB23" i="23"/>
  <c r="AB24" i="23"/>
  <c r="AB25" i="23"/>
  <c r="AB26" i="23"/>
  <c r="AA4" i="23"/>
  <c r="AA5" i="23"/>
  <c r="AA6" i="23"/>
  <c r="AA7" i="23"/>
  <c r="AA8" i="23"/>
  <c r="AA9" i="23"/>
  <c r="AA10" i="23"/>
  <c r="AA11" i="23"/>
  <c r="AA12" i="23"/>
  <c r="AA13" i="23"/>
  <c r="AA14" i="23"/>
  <c r="AA15" i="23"/>
  <c r="AA16" i="23"/>
  <c r="AA17" i="23"/>
  <c r="AA18" i="23"/>
  <c r="AA19" i="23"/>
  <c r="AA20" i="23"/>
  <c r="AA21" i="23"/>
  <c r="AA22" i="23"/>
  <c r="AA23" i="23"/>
  <c r="AA24" i="23"/>
  <c r="AA25" i="23"/>
  <c r="AA26" i="23"/>
  <c r="AG3" i="23"/>
  <c r="AF3" i="23"/>
  <c r="AE3" i="23"/>
  <c r="AD3" i="23"/>
  <c r="AC3" i="23"/>
  <c r="AB3" i="23"/>
  <c r="AA3" i="23"/>
  <c r="X4" i="23"/>
  <c r="X5" i="23"/>
  <c r="X6" i="23"/>
  <c r="X7" i="23"/>
  <c r="X8" i="23"/>
  <c r="X9" i="23"/>
  <c r="X10" i="23"/>
  <c r="X11" i="23"/>
  <c r="X12" i="23"/>
  <c r="X13" i="23"/>
  <c r="X14" i="23"/>
  <c r="X15" i="23"/>
  <c r="X16" i="23"/>
  <c r="X17" i="23"/>
  <c r="W4" i="23"/>
  <c r="W5" i="23"/>
  <c r="W6" i="23"/>
  <c r="W7" i="23"/>
  <c r="W8" i="23"/>
  <c r="W9" i="23"/>
  <c r="W10" i="23"/>
  <c r="W11" i="23"/>
  <c r="W12" i="23"/>
  <c r="W13" i="23"/>
  <c r="W14" i="23"/>
  <c r="W15" i="23"/>
  <c r="W16" i="23"/>
  <c r="W17" i="23"/>
  <c r="X3" i="23"/>
  <c r="W3" i="23"/>
  <c r="U3" i="18"/>
  <c r="T3" i="18"/>
  <c r="W18" i="23" l="1"/>
  <c r="X18" i="23"/>
  <c r="K3" i="20"/>
  <c r="J3" i="20"/>
  <c r="I3" i="20"/>
  <c r="H3" i="20"/>
  <c r="G3" i="20"/>
  <c r="F3" i="20"/>
  <c r="W3" i="18"/>
  <c r="V3" i="18"/>
  <c r="Y3" i="18"/>
  <c r="X3" i="18"/>
</calcChain>
</file>

<file path=xl/sharedStrings.xml><?xml version="1.0" encoding="utf-8"?>
<sst xmlns="http://schemas.openxmlformats.org/spreadsheetml/2006/main" count="703" uniqueCount="331">
  <si>
    <t>CNPJ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</si>
  <si>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</si>
  <si>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</si>
  <si>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</si>
  <si>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</si>
  <si>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</si>
  <si>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</si>
  <si>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</si>
  <si>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</si>
  <si>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</si>
  <si>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</si>
  <si>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</si>
  <si>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</si>
  <si>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</si>
  <si>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</si>
  <si>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</si>
  <si>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</si>
  <si>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</si>
  <si>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</si>
  <si>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</si>
  <si>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</si>
  <si>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</si>
  <si>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</si>
  <si>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</si>
  <si>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</si>
  <si>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</si>
  <si>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</si>
  <si>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</si>
  <si>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Cascavel</t>
  </si>
  <si>
    <t>Toledo</t>
  </si>
  <si>
    <t>Palotina</t>
  </si>
  <si>
    <t>Maripá</t>
  </si>
  <si>
    <t>Assis Chateaubriand</t>
  </si>
  <si>
    <t>Nova Santa Rosa</t>
  </si>
  <si>
    <t>Francisco Alves</t>
  </si>
  <si>
    <t>Iporã</t>
  </si>
  <si>
    <t>Umuarama</t>
  </si>
  <si>
    <t>Goioerê</t>
  </si>
  <si>
    <t>Terra Roxa</t>
  </si>
  <si>
    <t xml:space="preserve">Guiaria </t>
  </si>
  <si>
    <t>Maringá</t>
  </si>
  <si>
    <t>Londrina</t>
  </si>
  <si>
    <t xml:space="preserve">Jesuitas </t>
  </si>
  <si>
    <t>PAGTO SEGURADORA</t>
  </si>
  <si>
    <t>NF</t>
  </si>
  <si>
    <t xml:space="preserve">DT VISTORIA </t>
  </si>
  <si>
    <t xml:space="preserve">APÓLICE </t>
  </si>
  <si>
    <t>SEGURADO</t>
  </si>
  <si>
    <t xml:space="preserve">MUNICIPIO </t>
  </si>
  <si>
    <t>UF</t>
  </si>
  <si>
    <t>NATUREZA DO SINISTRO</t>
  </si>
  <si>
    <t xml:space="preserve">PERITO </t>
  </si>
  <si>
    <t xml:space="preserve"> PEDÁGIO </t>
  </si>
  <si>
    <t>SINISTRO</t>
  </si>
  <si>
    <t>APÓLICE</t>
  </si>
  <si>
    <t>PROPOSTA</t>
  </si>
  <si>
    <t>OBS:</t>
  </si>
  <si>
    <t>EVENTO</t>
  </si>
  <si>
    <t>CULTURA</t>
  </si>
  <si>
    <t>VISTORIA</t>
  </si>
  <si>
    <t>AREA SEGURADA</t>
  </si>
  <si>
    <t>AREA VISTORIADA</t>
  </si>
  <si>
    <t xml:space="preserve"> HONORÁRIO R$ </t>
  </si>
  <si>
    <t>KM RODADO PERITO</t>
  </si>
  <si>
    <t>VALOR KM R$</t>
  </si>
  <si>
    <t>KM RODADO EMPRESA</t>
  </si>
  <si>
    <t>KM R$ EMPR</t>
  </si>
  <si>
    <t>HOTEL</t>
  </si>
  <si>
    <t>REFEIÇÃO</t>
  </si>
  <si>
    <t xml:space="preserve">OUTROS </t>
  </si>
  <si>
    <t xml:space="preserve"> TOTAL </t>
  </si>
  <si>
    <t>CPF</t>
  </si>
  <si>
    <t>Maquinas</t>
  </si>
  <si>
    <t>Equipamentos</t>
  </si>
  <si>
    <t>Benfeitorias</t>
  </si>
  <si>
    <t>Produto Colhido</t>
  </si>
  <si>
    <t>Preliminar</t>
  </si>
  <si>
    <t>Final</t>
  </si>
  <si>
    <t>Sinistro</t>
  </si>
  <si>
    <t>Monitoramento</t>
  </si>
  <si>
    <t>Prévia</t>
  </si>
  <si>
    <t>Agravamento</t>
  </si>
  <si>
    <t>Revistoria</t>
  </si>
  <si>
    <t>KM R$</t>
  </si>
  <si>
    <t>Preliminar/Final</t>
  </si>
  <si>
    <t xml:space="preserve">Soja </t>
  </si>
  <si>
    <t>Milho</t>
  </si>
  <si>
    <t>DT RECEBIMENTO</t>
  </si>
  <si>
    <t>SEGURADORA</t>
  </si>
  <si>
    <t>TIPO DO BEN</t>
  </si>
  <si>
    <t>DT VISTORIA</t>
  </si>
  <si>
    <t xml:space="preserve">DT ENTREGA </t>
  </si>
  <si>
    <t>DT REVISTORIA</t>
  </si>
  <si>
    <t>NOME</t>
  </si>
  <si>
    <t>ENDERECO</t>
  </si>
  <si>
    <t>CELULAR</t>
  </si>
  <si>
    <t>CREA</t>
  </si>
  <si>
    <t>ENDEREÇO</t>
  </si>
  <si>
    <t>REFEIÇÃO R$</t>
  </si>
  <si>
    <t>HOSPEDAGEM R$</t>
  </si>
  <si>
    <t xml:space="preserve">DT LANÇAMENTO </t>
  </si>
  <si>
    <t>DT LANÇAMENTO</t>
  </si>
  <si>
    <t>PASSAGEM ÁERA</t>
  </si>
  <si>
    <t>STATUS</t>
  </si>
  <si>
    <t>Aberto</t>
  </si>
  <si>
    <t>Perito :</t>
  </si>
  <si>
    <t>Seguradora :</t>
  </si>
  <si>
    <t>PAGTO PERITO</t>
  </si>
  <si>
    <t>Status:</t>
  </si>
  <si>
    <t>STATUS SEGURADORA</t>
  </si>
  <si>
    <t>STATUS PERITO</t>
  </si>
  <si>
    <t>PERITO</t>
  </si>
  <si>
    <t>DT LANCAMENTO</t>
  </si>
  <si>
    <t>TIPO</t>
  </si>
  <si>
    <t>APOLICE</t>
  </si>
  <si>
    <t>Penhor</t>
  </si>
  <si>
    <t>DT PAGAMENTO</t>
  </si>
  <si>
    <t>Relatório de Contas A pagar</t>
  </si>
  <si>
    <t>Tipo</t>
  </si>
  <si>
    <t>&gt; Penhor ou Pericia</t>
  </si>
  <si>
    <t>&gt; Aberto ou Liquidado</t>
  </si>
  <si>
    <t>(vazio)</t>
  </si>
  <si>
    <t xml:space="preserve">ALUGUEL CARRO </t>
  </si>
  <si>
    <t xml:space="preserve">HONORÁRIO R$ </t>
  </si>
  <si>
    <t xml:space="preserve">PEDÁGIO </t>
  </si>
  <si>
    <t>Pericia</t>
  </si>
  <si>
    <t>Relatório de Contas A Receber</t>
  </si>
  <si>
    <t>ALUGUEL CARRO</t>
  </si>
  <si>
    <t>28.196.889/0001-43</t>
  </si>
  <si>
    <t>26.609.195/0001-65</t>
  </si>
  <si>
    <t>KM R$ EMPR2</t>
  </si>
  <si>
    <t>TIPO DO BEM</t>
  </si>
  <si>
    <t xml:space="preserve"> HONORÁRIO R$  </t>
  </si>
  <si>
    <t xml:space="preserve">KM  </t>
  </si>
  <si>
    <t xml:space="preserve">HOTEL </t>
  </si>
  <si>
    <t xml:space="preserve">REFEIÇÃO </t>
  </si>
  <si>
    <t xml:space="preserve">TOTAL </t>
  </si>
  <si>
    <t xml:space="preserve">TOTAL  </t>
  </si>
  <si>
    <t>Relatório Vistorias pendentes</t>
  </si>
  <si>
    <t>Pericias</t>
  </si>
  <si>
    <t>DT AGENDAMENTO</t>
  </si>
  <si>
    <t xml:space="preserve">ALLISSON MINATTI RAUPP </t>
  </si>
  <si>
    <t>BEATRIZ ALVES MIRA</t>
  </si>
  <si>
    <t>CAINAN FAVORITO</t>
  </si>
  <si>
    <t>CARLOS EDUARDO DE LIMA JUNIOR</t>
  </si>
  <si>
    <t>CARLOS ROBERTO MOREIRA</t>
  </si>
  <si>
    <t>CLAIRTON JOSE CATSCHOR GASSEN</t>
  </si>
  <si>
    <t xml:space="preserve">EMERSON DE LIMA </t>
  </si>
  <si>
    <t>EVERTON CARLOS BALBINOTTI</t>
  </si>
  <si>
    <t>JOSE MARCEL DEGRANDIS ANDRADE</t>
  </si>
  <si>
    <t>LEONARDO VINICIUS DEGRANDIS</t>
  </si>
  <si>
    <t>LUCAS CARLOS NEIS</t>
  </si>
  <si>
    <t xml:space="preserve">LUCAS VEZZARO </t>
  </si>
  <si>
    <t>MAICON GODOIS CARVALHO</t>
  </si>
  <si>
    <t>MARCELO DE OLIVEIRA</t>
  </si>
  <si>
    <t xml:space="preserve">MARCELO P SAMPAIO </t>
  </si>
  <si>
    <t>MATHEUS ANDRADE CENTENARO</t>
  </si>
  <si>
    <t>RODRIGO PIVETA DA COSTA</t>
  </si>
  <si>
    <t>VAGNER POTRATZ</t>
  </si>
  <si>
    <t xml:space="preserve">VINI RODRIGUES BISPO </t>
  </si>
  <si>
    <t>WESCLEI BRAGA GERENUTTI</t>
  </si>
  <si>
    <t>EMERSON FERREIRA DA COSTA</t>
  </si>
  <si>
    <t>ADAVILSON PFEIFER</t>
  </si>
  <si>
    <t>PEDRO HENRIQUE RIBEIRO CAVALLARI</t>
  </si>
  <si>
    <t>JONIAM LORENZET</t>
  </si>
  <si>
    <t>Romã Chrum</t>
  </si>
  <si>
    <t>Brasil</t>
  </si>
  <si>
    <t>Presidente Kennedy</t>
  </si>
  <si>
    <t>Coroados</t>
  </si>
  <si>
    <t>General Osório</t>
  </si>
  <si>
    <t>ODILON SOARES DE LIMA</t>
  </si>
  <si>
    <t>Tranquilo Noro</t>
  </si>
  <si>
    <t>Expedicionário Ervino Alves Palhano</t>
  </si>
  <si>
    <t>Paulo VI</t>
  </si>
  <si>
    <t>Estrada Maccagnam, KM 18</t>
  </si>
  <si>
    <t>Paraná</t>
  </si>
  <si>
    <t>7 de setembro</t>
  </si>
  <si>
    <t>Osvaldo Cruz</t>
  </si>
  <si>
    <t>Pe. Donizetti</t>
  </si>
  <si>
    <t>Pe. Luis Luise</t>
  </si>
  <si>
    <t>Mauro Bilescki</t>
  </si>
  <si>
    <t>Itajai</t>
  </si>
  <si>
    <t>Linha Jacutinga</t>
  </si>
  <si>
    <t>Martin Luther</t>
  </si>
  <si>
    <t>Estrada Santa Fé</t>
  </si>
  <si>
    <t>Bonfilio Miolla</t>
  </si>
  <si>
    <t>Plácido Mascarello</t>
  </si>
  <si>
    <t>Rio Grande do Norte</t>
  </si>
  <si>
    <t>Surucuá</t>
  </si>
  <si>
    <t>(45) 99144-7507</t>
  </si>
  <si>
    <t>(18) 99760-2943</t>
  </si>
  <si>
    <t>(44) 99862-0989</t>
  </si>
  <si>
    <t>(45) 99965-1226</t>
  </si>
  <si>
    <t>(45) 99111-6282</t>
  </si>
  <si>
    <t>(45) 99117-3209</t>
  </si>
  <si>
    <t>(45) 99965-1978</t>
  </si>
  <si>
    <t>(45) 98417-6606</t>
  </si>
  <si>
    <t>(45) 99955-0695</t>
  </si>
  <si>
    <t>(44) 99837-6017</t>
  </si>
  <si>
    <t>(44) 99934-2357</t>
  </si>
  <si>
    <t>(45) 99972-4970</t>
  </si>
  <si>
    <t>(45) 99860-6522</t>
  </si>
  <si>
    <t>(45) 99906-3023</t>
  </si>
  <si>
    <t>(27) 999736-0979</t>
  </si>
  <si>
    <t>(45) 99142-3481</t>
  </si>
  <si>
    <t>(44) 9 9839-1077</t>
  </si>
  <si>
    <t>(45) 99132-0504</t>
  </si>
  <si>
    <t>(43) 99986-6360</t>
  </si>
  <si>
    <t>(45) 99828-2536</t>
  </si>
  <si>
    <t>(45) 99827-0471</t>
  </si>
  <si>
    <t>(45) 99930-0742</t>
  </si>
  <si>
    <t>(45) 99904-1708</t>
  </si>
  <si>
    <t>(45) 99164-6008</t>
  </si>
  <si>
    <t>154871/D-PR</t>
  </si>
  <si>
    <t>5070309813-SP</t>
  </si>
  <si>
    <t>176086/D-PR</t>
  </si>
  <si>
    <t>101000/D-PR</t>
  </si>
  <si>
    <t>133342/D-PR</t>
  </si>
  <si>
    <t>169629/D-PR</t>
  </si>
  <si>
    <t>113500/D-PR</t>
  </si>
  <si>
    <t xml:space="preserve">183236/D-PR </t>
  </si>
  <si>
    <t>185652/D-PR</t>
  </si>
  <si>
    <t>184627/D-PR</t>
  </si>
  <si>
    <t>153704/D-PR</t>
  </si>
  <si>
    <t>170720/D-PR</t>
  </si>
  <si>
    <t xml:space="preserve">182317/D-PR </t>
  </si>
  <si>
    <t>175750/D-PR</t>
  </si>
  <si>
    <t>2019110320/D-RJ</t>
  </si>
  <si>
    <t>168102/D-PR</t>
  </si>
  <si>
    <t>181030/D-PR</t>
  </si>
  <si>
    <t>189667/D-PR</t>
  </si>
  <si>
    <t>1900434/D-PR</t>
  </si>
  <si>
    <t>168672/D-PR</t>
  </si>
  <si>
    <t>-</t>
  </si>
  <si>
    <t>191647/D-PR</t>
  </si>
  <si>
    <t>136.292/D-PR</t>
  </si>
  <si>
    <t>073.586.659-70</t>
  </si>
  <si>
    <t>444.747.048-94</t>
  </si>
  <si>
    <t>097.887.559-17</t>
  </si>
  <si>
    <t>290.692.578-07</t>
  </si>
  <si>
    <t>589.285.379-91</t>
  </si>
  <si>
    <t>067.557.729-25</t>
  </si>
  <si>
    <t>076.778.549-58</t>
  </si>
  <si>
    <t>038.559.019-96</t>
  </si>
  <si>
    <t>077.462.949-52</t>
  </si>
  <si>
    <t>112.988.969-67</t>
  </si>
  <si>
    <t>077.175.199-09</t>
  </si>
  <si>
    <t>077.133.899-62</t>
  </si>
  <si>
    <t>089.500.319-81</t>
  </si>
  <si>
    <t>083.520.739-07</t>
  </si>
  <si>
    <t>136.956.207-14</t>
  </si>
  <si>
    <t>103.668.459-85</t>
  </si>
  <si>
    <t>088.139.609-56</t>
  </si>
  <si>
    <t>091.978.769-09</t>
  </si>
  <si>
    <t>059.520.809-60</t>
  </si>
  <si>
    <t>093.990.339-37</t>
  </si>
  <si>
    <t>088.900.909-01</t>
  </si>
  <si>
    <t>030.888.169-93</t>
  </si>
  <si>
    <t>067.854.439-54</t>
  </si>
  <si>
    <t>091.3703989-19</t>
  </si>
  <si>
    <t>72.145.931/0001-99</t>
  </si>
  <si>
    <t>17-643.407/0001-30</t>
  </si>
  <si>
    <t>10.793.428/0001-92</t>
  </si>
  <si>
    <t>33.054.826/0001-92</t>
  </si>
  <si>
    <t>61.573.796/0001-66</t>
  </si>
  <si>
    <t>14.525.684/0001-50</t>
  </si>
  <si>
    <t>15.525.684/0001-50</t>
  </si>
  <si>
    <t>33.164.021/0093-10</t>
  </si>
  <si>
    <t>81.723.108/0001-04</t>
  </si>
  <si>
    <t>61.074.175/0001-38</t>
  </si>
  <si>
    <t>Av. Rio Branco, n° 01, Centro - Rio de Janeiro/RJ - CEP: 20090-003</t>
  </si>
  <si>
    <t>Av. Paulista, n° 500, bairro Bela Vista - São Paulo/SP - CEP: 01310-000</t>
  </si>
  <si>
    <t>Av. Duque de Caxias, n° 882, bairro Zona 01 - Maringa/PR - CEP: 87013-180</t>
  </si>
  <si>
    <t>Av. das Nações Unidas, n° 14261, bairro Vila Gertrudes - São Paulo/SP - CEP: 04794-000</t>
  </si>
  <si>
    <t>Alameda Santos, n° 1940, bairro Cerqueira César - São Paulo/SP - CEP: 01418-200</t>
  </si>
  <si>
    <t>Av. Marquês de Olinda, n° 175, bairro Recife - Recife/PE - CEP: 50030-000</t>
  </si>
  <si>
    <t>Rua Luís Coelho, n° 26, bairro Consolação - São Paulo/SP - CEP: 01309-900</t>
  </si>
  <si>
    <t>Av. Brigadeiro Faria Lima, n° 3477, bairro Itaimbibi - São Paulo/SP - CEP:04538-133</t>
  </si>
  <si>
    <t>Rua Couto Magalhães, n° 130, bairro Alto da Boa Vista - Ribeirão Preto/SP - CEP: 14.025-690</t>
  </si>
  <si>
    <t>Rua Fioravante João Ferri, n° 99, bairro Jardim Alvorada - Campo Mourão/PR - CEP: 87308-445</t>
  </si>
  <si>
    <t>Av. das Nações Unidas, n° 11711, bairro Broolkin Paulista - São Paulo/SP - CEP: 04578-000</t>
  </si>
  <si>
    <t>20/02/2021</t>
  </si>
  <si>
    <t>10,00</t>
  </si>
  <si>
    <t>HONORARIO EMPRESA</t>
  </si>
  <si>
    <t>TOTAL EMPRESA</t>
  </si>
  <si>
    <t>NEWE</t>
  </si>
  <si>
    <t>SWISS RE</t>
  </si>
  <si>
    <t>SANCOR</t>
  </si>
  <si>
    <t>BRASIL SEG</t>
  </si>
  <si>
    <t xml:space="preserve">FAIRFAX </t>
  </si>
  <si>
    <t>EXCELSIOR</t>
  </si>
  <si>
    <t>ALLIANZ</t>
  </si>
  <si>
    <t>AGROBRASIL - ( PR, SC e RS)</t>
  </si>
  <si>
    <t>AGROBRASIL - (DEMAIS ESTADOS)</t>
  </si>
  <si>
    <t>BTG</t>
  </si>
  <si>
    <t xml:space="preserve">TOKIO MARINE </t>
  </si>
  <si>
    <t>ESSOR</t>
  </si>
  <si>
    <t>CREDIACOAMO</t>
  </si>
  <si>
    <t>MAPFRE</t>
  </si>
  <si>
    <t>28/02/2021</t>
  </si>
  <si>
    <t>teste</t>
  </si>
  <si>
    <t xml:space="preserve">AGROBRASIL - (SP)                    </t>
  </si>
  <si>
    <t>Roubo</t>
  </si>
  <si>
    <t>Incendio</t>
  </si>
  <si>
    <t>Pedro</t>
  </si>
  <si>
    <t>Maria</t>
  </si>
  <si>
    <t>18/02/2021</t>
  </si>
  <si>
    <t>Felipe</t>
  </si>
  <si>
    <t>17/02/2021</t>
  </si>
  <si>
    <t>Cleiton</t>
  </si>
  <si>
    <t>19/02/2021</t>
  </si>
  <si>
    <t>21/02/2021</t>
  </si>
  <si>
    <t>Liquidado</t>
  </si>
  <si>
    <t xml:space="preserve"> </t>
  </si>
  <si>
    <t>SALDO</t>
  </si>
  <si>
    <t>Obs</t>
  </si>
  <si>
    <t>Mario</t>
  </si>
  <si>
    <t>Marta</t>
  </si>
  <si>
    <t>rtw</t>
  </si>
  <si>
    <t>Flavio</t>
  </si>
  <si>
    <t>17/02/2022</t>
  </si>
  <si>
    <t>28/fev</t>
  </si>
  <si>
    <t>04/mar</t>
  </si>
  <si>
    <t>Total</t>
  </si>
  <si>
    <t>Saldo</t>
  </si>
  <si>
    <t>Seguradora</t>
  </si>
  <si>
    <t>Tabela Total de recebimentos</t>
  </si>
  <si>
    <t>Parcial</t>
  </si>
  <si>
    <t>ui</t>
  </si>
  <si>
    <t>Peritos</t>
  </si>
  <si>
    <t>Total por Peritos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</si>
</sst>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#,##0.00;\-&quot;R$&quot;#,##0.00"/>
    <numFmt numFmtId="44" formatCode="_-&quot;R$&quot;* #,##0.00_-;\-&quot;R$&quot;* #,##0.00_-;_-&quot;R$&quot;* &quot;-&quot;??_-;_-@_-"/>
    <numFmt numFmtId="164" formatCode="_-&quot;R$&quot;\ * #,##0.00_-;\-&quot;R$&quot;\ * #,##0.00_-;_-&quot;R$&quot;\ * &quot;-&quot;??_-;_-@_-"/>
  </numFmts>
  <fonts count="11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indexed="64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/>
      <diagonal/>
    </border>
  </borders>
  <cellStyleXfs count="3">
    <xf numFmtId="0" fontId="0" fillId="0" borderId="0"/>
    <xf numFmtId="44" fontId="3" fillId="0" borderId="0" applyFont="0" applyFill="0" applyBorder="0" applyAlignment="0" applyProtection="0"/>
    <xf numFmtId="164" fontId="3" fillId="0" borderId="0" applyFont="0" applyFill="0" applyBorder="0" applyAlignment="0" applyProtection="0"/>
  </cellStyleXfs>
  <cellXfs count="66">
    <xf numFmtId="0" fontId="0" fillId="0" borderId="0" xfId="0"/>
    <xf numFmtId="14" fontId="0" fillId="0" borderId="0" xfId="0" applyNumberFormat="1"/>
    <xf numFmtId="0" fontId="2" fillId="0" borderId="0" xfId="0" applyFont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right"/>
    </xf>
    <xf numFmtId="44" fontId="1" fillId="2" borderId="1" xfId="1" applyFont="1" applyFill="1" applyBorder="1" applyAlignment="1">
      <alignment horizontal="center"/>
    </xf>
    <xf numFmtId="44" fontId="0" fillId="0" borderId="0" xfId="1" applyFont="1"/>
    <xf numFmtId="44" fontId="1" fillId="2" borderId="2" xfId="1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14" fontId="0" fillId="0" borderId="0" xfId="0" applyNumberFormat="1" applyBorder="1" applyAlignment="1">
      <alignment horizontal="center"/>
    </xf>
    <xf numFmtId="0" fontId="5" fillId="0" borderId="0" xfId="0" applyFont="1"/>
    <xf numFmtId="0" fontId="0" fillId="0" borderId="0" xfId="0" applyFill="1" applyBorder="1"/>
    <xf numFmtId="0" fontId="4" fillId="0" borderId="0" xfId="0" applyFont="1" applyBorder="1" applyAlignment="1"/>
    <xf numFmtId="14" fontId="0" fillId="0" borderId="0" xfId="1" applyNumberFormat="1" applyFont="1"/>
    <xf numFmtId="0" fontId="7" fillId="0" borderId="0" xfId="0" applyFont="1"/>
    <xf numFmtId="44" fontId="1" fillId="2" borderId="1" xfId="1" applyNumberFormat="1" applyFont="1" applyFill="1" applyBorder="1" applyAlignment="1">
      <alignment horizontal="center"/>
    </xf>
    <xf numFmtId="7" fontId="0" fillId="0" borderId="0" xfId="1" applyNumberFormat="1" applyFont="1"/>
    <xf numFmtId="44" fontId="1" fillId="2" borderId="3" xfId="1" applyNumberFormat="1" applyFont="1" applyFill="1" applyBorder="1" applyAlignment="1">
      <alignment horizontal="center"/>
    </xf>
    <xf numFmtId="44" fontId="1" fillId="2" borderId="4" xfId="1" applyNumberFormat="1" applyFont="1" applyFill="1" applyBorder="1" applyAlignment="1">
      <alignment horizontal="center"/>
    </xf>
    <xf numFmtId="44" fontId="0" fillId="0" borderId="0" xfId="1" applyFont="1" applyBorder="1" applyAlignment="1">
      <alignment horizontal="left"/>
    </xf>
    <xf numFmtId="44" fontId="5" fillId="0" borderId="0" xfId="1" applyFont="1"/>
    <xf numFmtId="44" fontId="0" fillId="0" borderId="0" xfId="1" applyFont="1" applyBorder="1" applyAlignment="1"/>
    <xf numFmtId="44" fontId="0" fillId="0" borderId="0" xfId="1" applyFont="1" applyBorder="1" applyAlignment="1">
      <alignment horizontal="center"/>
    </xf>
    <xf numFmtId="44" fontId="6" fillId="3" borderId="0" xfId="1" applyFont="1" applyFill="1" applyBorder="1" applyAlignment="1">
      <alignment horizontal="right"/>
    </xf>
    <xf numFmtId="44" fontId="6" fillId="3" borderId="0" xfId="1" applyFont="1" applyFill="1" applyBorder="1" applyAlignment="1">
      <alignment horizontal="center"/>
    </xf>
    <xf numFmtId="44" fontId="7" fillId="3" borderId="0" xfId="1" applyFont="1" applyFill="1" applyBorder="1"/>
    <xf numFmtId="0" fontId="0" fillId="0" borderId="0" xfId="0" pivotButton="1"/>
    <xf numFmtId="44" fontId="2" fillId="0" borderId="0" xfId="1" applyFont="1"/>
    <xf numFmtId="44" fontId="2" fillId="0" borderId="0" xfId="1" applyFont="1" applyBorder="1" applyAlignment="1">
      <alignment horizontal="left"/>
    </xf>
    <xf numFmtId="44" fontId="2" fillId="0" borderId="0" xfId="1" applyFont="1" applyBorder="1"/>
    <xf numFmtId="44" fontId="2" fillId="0" borderId="0" xfId="1" applyFont="1" applyBorder="1" applyAlignment="1"/>
    <xf numFmtId="44" fontId="2" fillId="0" borderId="0" xfId="1" applyFont="1" applyBorder="1" applyAlignment="1">
      <alignment horizontal="center"/>
    </xf>
    <xf numFmtId="0" fontId="0" fillId="0" borderId="0" xfId="0" applyAlignment="1">
      <alignment horizontal="right"/>
    </xf>
    <xf numFmtId="44" fontId="5" fillId="0" borderId="0" xfId="1" applyFont="1" applyBorder="1"/>
    <xf numFmtId="44" fontId="5" fillId="0" borderId="0" xfId="1" applyFont="1" applyBorder="1" applyAlignment="1">
      <alignment horizontal="left"/>
    </xf>
    <xf numFmtId="44" fontId="5" fillId="0" borderId="0" xfId="1" applyFont="1" applyBorder="1" applyAlignment="1"/>
    <xf numFmtId="44" fontId="5" fillId="0" borderId="0" xfId="1" applyFont="1" applyBorder="1" applyAlignment="1">
      <alignment horizontal="center"/>
    </xf>
    <xf numFmtId="0" fontId="9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/>
    <xf numFmtId="7" fontId="0" fillId="0" borderId="0" xfId="0" applyNumberFormat="1"/>
    <xf numFmtId="0" fontId="0" fillId="0" borderId="0" xfId="0" applyNumberFormat="1"/>
    <xf numFmtId="49" fontId="0" fillId="0" borderId="0" xfId="0" applyNumberFormat="1"/>
    <xf numFmtId="49" fontId="0" fillId="0" borderId="0" xfId="0" applyNumberFormat="1" applyAlignment="1">
      <alignment horizontal="center"/>
    </xf>
    <xf numFmtId="49" fontId="0" fillId="4" borderId="6" xfId="0" applyNumberFormat="1" applyFont="1" applyFill="1" applyBorder="1"/>
    <xf numFmtId="49" fontId="0" fillId="0" borderId="6" xfId="0" applyNumberFormat="1" applyFont="1" applyBorder="1"/>
    <xf numFmtId="49" fontId="0" fillId="4" borderId="7" xfId="0" applyNumberFormat="1" applyFont="1" applyFill="1" applyBorder="1"/>
    <xf numFmtId="49" fontId="0" fillId="0" borderId="7" xfId="0" applyNumberFormat="1" applyFont="1" applyBorder="1"/>
    <xf numFmtId="0" fontId="0" fillId="0" borderId="6" xfId="0" applyFont="1" applyBorder="1"/>
    <xf numFmtId="0" fontId="0" fillId="4" borderId="6" xfId="0" applyFont="1" applyFill="1" applyBorder="1"/>
    <xf numFmtId="14" fontId="0" fillId="0" borderId="0" xfId="0" applyNumberFormat="1" applyBorder="1" applyAlignment="1">
      <alignment horizontal="right"/>
    </xf>
    <xf numFmtId="7" fontId="0" fillId="0" borderId="0" xfId="1" applyNumberFormat="1" applyFont="1" applyBorder="1"/>
    <xf numFmtId="14" fontId="0" fillId="0" borderId="0" xfId="0" applyNumberFormat="1" applyBorder="1"/>
    <xf numFmtId="0" fontId="0" fillId="0" borderId="9" xfId="0" applyFont="1" applyBorder="1"/>
    <xf numFmtId="0" fontId="8" fillId="0" borderId="0" xfId="0" applyFont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8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Font="1" applyFill="1" applyBorder="1"/>
  </cellXfs>
  <cellStyles count="3">
    <cellStyle name="Moeda" xfId="1" builtinId="4"/>
    <cellStyle name="Moeda 2" xfId="2" xr:uid="{A6118882-E3ED-4E75-BED1-0DF76B4E8424}"/>
    <cellStyle name="Normal" xfId="0" builtinId="0"/>
  </cellStyles>
  <dxfs count="7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numFmt numFmtId="30" formatCode="@"/>
    </dxf>
    <dxf>
      <alignment horizontal="center" vertical="bottom" textRotation="0" wrapText="0" indent="0" justifyLastLine="0" shrinkToFit="0" readingOrder="0"/>
    </dxf>
    <dxf>
      <numFmt numFmtId="11" formatCode="&quot;R$&quot;#,##0.00;\-&quot;R$&quot;#,##0.00"/>
    </dxf>
    <dxf>
      <numFmt numFmtId="11" formatCode="&quot;R$&quot;#,##0.00;\-&quot;R$&quot;#,##0.00"/>
    </dxf>
    <dxf>
      <numFmt numFmtId="11" formatCode="&quot;R$&quot;#,##0.00;\-&quot;R$&quot;#,##0.00"/>
    </dxf>
    <dxf>
      <numFmt numFmtId="30" formatCode="@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alignment horizontal="right" vertical="bottom" textRotation="0" wrapText="0" indent="0" justifyLastLine="0" shrinkToFit="0" readingOrder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numFmt numFmtId="19" formatCode="dd/mm/yyyy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numFmt numFmtId="2" formatCode="0.00"/>
    </dxf>
    <dxf>
      <numFmt numFmtId="2" formatCode="0.00"/>
    </dxf>
    <dxf>
      <alignment horizontal="center" vertical="bottom" textRotation="0" wrapText="0" indent="0" justifyLastLine="0" shrinkToFit="0" readingOrder="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11" formatCode="&quot;R$&quot;#,##0.00;\-&quot;R$&quot;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</dxfs>
  <tableStyles count="0" defaultTableStyle="TableStyleMedium2" defaultPivotStyle="PivotStyleLight16"/>
  <colors>
    <mruColors>
      <color rgb="FF339966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7/relationships/slicerCache" Target="slicerCaches/slicerCache2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1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7/relationships/slicerCache" Target="slicerCaches/slicerCache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4.xml"/><Relationship Id="rId32" Type="http://schemas.microsoft.com/office/2011/relationships/timelineCache" Target="timelineCaches/timelineCache1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3.xml"/><Relationship Id="rId28" Type="http://schemas.microsoft.com/office/2007/relationships/slicerCache" Target="slicerCaches/slicerCache4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7/relationships/slicerCache" Target="slicerCaches/slicerCache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Relationship Id="rId27" Type="http://schemas.microsoft.com/office/2007/relationships/slicerCache" Target="slicerCaches/slicerCache3.xml"/><Relationship Id="rId30" Type="http://schemas.microsoft.com/office/2007/relationships/slicerCache" Target="slicerCaches/slicerCache6.xml"/><Relationship Id="rId35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por seguradora</a:t>
            </a:r>
            <a:endParaRPr lang="en-US"/>
          </a:p>
        </c:rich>
      </c:tx>
      <c:layout>
        <c:manualLayout>
          <c:xMode val="edge"/>
          <c:yMode val="edge"/>
          <c:x val="0.35128455818022747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TbDinamicaReceber!$W$2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CF7-44A1-B305-E2B202DD043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CF7-44A1-B305-E2B202DD043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CF7-44A1-B305-E2B202DD043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CF7-44A1-B305-E2B202DD043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CF7-44A1-B305-E2B202DD043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CF7-44A1-B305-E2B202DD043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CF7-44A1-B305-E2B202DD043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CF7-44A1-B305-E2B202DD043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CF7-44A1-B305-E2B202DD043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1CF7-44A1-B305-E2B202DD043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1CF7-44A1-B305-E2B202DD043E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1CF7-44A1-B305-E2B202DD043E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1CF7-44A1-B305-E2B202DD043E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1CF7-44A1-B305-E2B202DD043E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1CF7-44A1-B305-E2B202DD043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TbDinamicaReceber!$V$3:$V$17</c:f>
              <c:strCache>
                <c:ptCount val="15"/>
                <c:pt idx="0">
                  <c:v>NEWE</c:v>
                </c:pt>
                <c:pt idx="1">
                  <c:v>SWISS RE</c:v>
                </c:pt>
                <c:pt idx="2">
                  <c:v>SANCOR</c:v>
                </c:pt>
                <c:pt idx="3">
                  <c:v>BRASIL SEG</c:v>
                </c:pt>
                <c:pt idx="4">
                  <c:v>FAIRFAX </c:v>
                </c:pt>
                <c:pt idx="5">
                  <c:v>EXCELSIOR</c:v>
                </c:pt>
                <c:pt idx="6">
                  <c:v>ALLIANZ</c:v>
                </c:pt>
                <c:pt idx="7">
                  <c:v>AGROBRASIL - (SP)                    </c:v>
                </c:pt>
                <c:pt idx="8">
                  <c:v>AGROBRASIL - ( PR, SC e RS)</c:v>
                </c:pt>
                <c:pt idx="9">
                  <c:v>AGROBRASIL - (DEMAIS ESTADOS)</c:v>
                </c:pt>
                <c:pt idx="10">
                  <c:v>BTG</c:v>
                </c:pt>
                <c:pt idx="11">
                  <c:v>TOKIO MARINE </c:v>
                </c:pt>
                <c:pt idx="12">
                  <c:v>ESSOR</c:v>
                </c:pt>
                <c:pt idx="13">
                  <c:v>CREDIACOAMO</c:v>
                </c:pt>
                <c:pt idx="14">
                  <c:v>MAPFRE</c:v>
                </c:pt>
              </c:strCache>
            </c:strRef>
          </c:cat>
          <c:val>
            <c:numRef>
              <c:f>TbDinamicaReceber!$W$3:$W$17</c:f>
              <c:numCache>
                <c:formatCode>_("R$"* #,##0.00_);_("R$"* \(#,##0.00\);_("R$"* "-"??_);_(@_)</c:formatCode>
                <c:ptCount val="15"/>
                <c:pt idx="0">
                  <c:v>0</c:v>
                </c:pt>
                <c:pt idx="1">
                  <c:v>244</c:v>
                </c:pt>
                <c:pt idx="2">
                  <c:v>942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464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1CF7-44A1-B305-E2B202DD043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Saldo por seguradora</a:t>
            </a:r>
          </a:p>
        </c:rich>
      </c:tx>
      <c:layout>
        <c:manualLayout>
          <c:xMode val="edge"/>
          <c:yMode val="edge"/>
          <c:x val="0.1572637795275590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5CB-4038-B878-4D0602BC569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5CB-4038-B878-4D0602BC569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5CB-4038-B878-4D0602BC569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5CB-4038-B878-4D0602BC569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5CB-4038-B878-4D0602BC569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5CB-4038-B878-4D0602BC569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5CB-4038-B878-4D0602BC569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5CB-4038-B878-4D0602BC569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5CB-4038-B878-4D0602BC569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D5CB-4038-B878-4D0602BC569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D5CB-4038-B878-4D0602BC5692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D5CB-4038-B878-4D0602BC5692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D5CB-4038-B878-4D0602BC5692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D5CB-4038-B878-4D0602BC5692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D5CB-4038-B878-4D0602BC569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TbDinamicaReceber!$V$3:$V$17</c:f>
              <c:strCache>
                <c:ptCount val="15"/>
                <c:pt idx="0">
                  <c:v>NEWE</c:v>
                </c:pt>
                <c:pt idx="1">
                  <c:v>SWISS RE</c:v>
                </c:pt>
                <c:pt idx="2">
                  <c:v>SANCOR</c:v>
                </c:pt>
                <c:pt idx="3">
                  <c:v>BRASIL SEG</c:v>
                </c:pt>
                <c:pt idx="4">
                  <c:v>FAIRFAX </c:v>
                </c:pt>
                <c:pt idx="5">
                  <c:v>EXCELSIOR</c:v>
                </c:pt>
                <c:pt idx="6">
                  <c:v>ALLIANZ</c:v>
                </c:pt>
                <c:pt idx="7">
                  <c:v>AGROBRASIL - (SP)                    </c:v>
                </c:pt>
                <c:pt idx="8">
                  <c:v>AGROBRASIL - ( PR, SC e RS)</c:v>
                </c:pt>
                <c:pt idx="9">
                  <c:v>AGROBRASIL - (DEMAIS ESTADOS)</c:v>
                </c:pt>
                <c:pt idx="10">
                  <c:v>BTG</c:v>
                </c:pt>
                <c:pt idx="11">
                  <c:v>TOKIO MARINE </c:v>
                </c:pt>
                <c:pt idx="12">
                  <c:v>ESSOR</c:v>
                </c:pt>
                <c:pt idx="13">
                  <c:v>CREDIACOAMO</c:v>
                </c:pt>
                <c:pt idx="14">
                  <c:v>MAPFRE</c:v>
                </c:pt>
              </c:strCache>
            </c:strRef>
          </c:cat>
          <c:val>
            <c:numRef>
              <c:f>TbDinamicaReceber!$X$3:$X$17</c:f>
              <c:numCache>
                <c:formatCode>_("R$"* #,##0.00_);_("R$"* \(#,##0.00\);_("R$"* "-"??_);_(@_)</c:formatCode>
                <c:ptCount val="15"/>
                <c:pt idx="0">
                  <c:v>0</c:v>
                </c:pt>
                <c:pt idx="1">
                  <c:v>244</c:v>
                </c:pt>
                <c:pt idx="2">
                  <c:v>692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464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D5CB-4038-B878-4D0602BC56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de despesas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TbDinamicaReceber!$Z$27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TbDinamicaReceber!$AA$2:$AG$2</c:f>
              <c:strCache>
                <c:ptCount val="7"/>
                <c:pt idx="0">
                  <c:v>KM R$</c:v>
                </c:pt>
                <c:pt idx="1">
                  <c:v>HOTEL</c:v>
                </c:pt>
                <c:pt idx="2">
                  <c:v>REFEIÇÃO</c:v>
                </c:pt>
                <c:pt idx="3">
                  <c:v>PEDÁGIO </c:v>
                </c:pt>
                <c:pt idx="4">
                  <c:v>PASSAGEM ÁERA</c:v>
                </c:pt>
                <c:pt idx="5">
                  <c:v>ALUGUEL CARRO</c:v>
                </c:pt>
                <c:pt idx="6">
                  <c:v>OUTROS </c:v>
                </c:pt>
              </c:strCache>
            </c:strRef>
          </c:cat>
          <c:val>
            <c:numRef>
              <c:f>TbDinamicaReceber!$AA$27:$AG$27</c:f>
              <c:numCache>
                <c:formatCode>_("R$"* #,##0.00_);_("R$"* \(#,##0.00\);_("R$"* "-"??_);_(@_)</c:formatCode>
                <c:ptCount val="7"/>
                <c:pt idx="0">
                  <c:v>68</c:v>
                </c:pt>
                <c:pt idx="1">
                  <c:v>13.333333333333339</c:v>
                </c:pt>
                <c:pt idx="2">
                  <c:v>83.3333333333333</c:v>
                </c:pt>
                <c:pt idx="3">
                  <c:v>20</c:v>
                </c:pt>
                <c:pt idx="4">
                  <c:v>0</c:v>
                </c:pt>
                <c:pt idx="5">
                  <c:v>0</c:v>
                </c:pt>
                <c:pt idx="6">
                  <c:v>13.333333333333339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ED-44F8-9FF2-A8D5046DB0F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06615816"/>
        <c:axId val="406616472"/>
      </c:barChart>
      <c:catAx>
        <c:axId val="406615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6616472"/>
        <c:crosses val="autoZero"/>
        <c:auto val="1"/>
        <c:lblAlgn val="ctr"/>
        <c:lblOffset val="100"/>
        <c:noMultiLvlLbl val="0"/>
      </c:catAx>
      <c:valAx>
        <c:axId val="4066164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406615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212070</xdr:colOff>
      <xdr:row>0</xdr:row>
      <xdr:rowOff>21724</xdr:rowOff>
    </xdr:from>
    <xdr:ext cx="9920023" cy="673601"/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480AE2F-B2CC-4B32-A153-612EBF5CA167}"/>
            </a:ext>
          </a:extLst>
        </xdr:cNvPr>
        <xdr:cNvSpPr/>
      </xdr:nvSpPr>
      <xdr:spPr>
        <a:xfrm>
          <a:off x="1431270" y="21724"/>
          <a:ext cx="9920023" cy="673601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3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Segoe UI Black" panose="020B0A02040204020203" pitchFamily="34" charset="0"/>
            </a:rPr>
            <a:t>Gestão de seguradora 1.0</a:t>
          </a:r>
        </a:p>
      </xdr:txBody>
    </xdr:sp>
    <xdr:clientData/>
  </xdr:oneCellAnchor>
  <xdr:twoCellAnchor>
    <xdr:from>
      <xdr:col>0</xdr:col>
      <xdr:colOff>152401</xdr:colOff>
      <xdr:row>3</xdr:row>
      <xdr:rowOff>152400</xdr:rowOff>
    </xdr:from>
    <xdr:to>
      <xdr:col>20</xdr:col>
      <xdr:colOff>476250</xdr:colOff>
      <xdr:row>23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F78025E3-6F35-4778-9E12-7549D5FDD3C6}"/>
            </a:ext>
          </a:extLst>
        </xdr:cNvPr>
        <xdr:cNvGrpSpPr/>
      </xdr:nvGrpSpPr>
      <xdr:grpSpPr>
        <a:xfrm>
          <a:off x="152401" y="723900"/>
          <a:ext cx="12515849" cy="3657600"/>
          <a:chOff x="152401" y="723900"/>
          <a:chExt cx="12515849" cy="3657600"/>
        </a:xfrm>
      </xdr:grpSpPr>
      <xdr:sp macro="" textlink="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3F00405F-2860-4D61-B784-1B6B57B0D83E}"/>
              </a:ext>
            </a:extLst>
          </xdr:cNvPr>
          <xdr:cNvSpPr/>
        </xdr:nvSpPr>
        <xdr:spPr>
          <a:xfrm>
            <a:off x="152401" y="723900"/>
            <a:ext cx="12515849" cy="3657600"/>
          </a:xfrm>
          <a:prstGeom prst="roundRect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" name="Agrupar 21">
            <a:extLst>
              <a:ext uri="{FF2B5EF4-FFF2-40B4-BE49-F238E27FC236}">
                <a16:creationId xmlns:a16="http://schemas.microsoft.com/office/drawing/2014/main" id="{CD2A8DF9-B7FD-4CDE-829F-8E739C5D391E}"/>
              </a:ext>
            </a:extLst>
          </xdr:cNvPr>
          <xdr:cNvGrpSpPr/>
        </xdr:nvGrpSpPr>
        <xdr:grpSpPr>
          <a:xfrm>
            <a:off x="590550" y="876300"/>
            <a:ext cx="2657475" cy="3448051"/>
            <a:chOff x="971550" y="847725"/>
            <a:chExt cx="2657475" cy="3448051"/>
          </a:xfrm>
        </xdr:grpSpPr>
        <xdr:sp macro="" textlink="">
          <xdr:nvSpPr>
            <xdr:cNvPr id="7" name="Retângulo: Cantos Arredondados 6">
              <a:extLst>
                <a:ext uri="{FF2B5EF4-FFF2-40B4-BE49-F238E27FC236}">
                  <a16:creationId xmlns:a16="http://schemas.microsoft.com/office/drawing/2014/main" id="{A69B5BFD-789B-46EB-9B1E-C0300D6B4B47}"/>
                </a:ext>
              </a:extLst>
            </xdr:cNvPr>
            <xdr:cNvSpPr/>
          </xdr:nvSpPr>
          <xdr:spPr>
            <a:xfrm>
              <a:off x="971550" y="847725"/>
              <a:ext cx="2657475" cy="3448051"/>
            </a:xfrm>
            <a:prstGeom prst="round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600" b="1"/>
                <a:t>Cadastros</a:t>
              </a:r>
            </a:p>
            <a:p>
              <a:pPr algn="ctr"/>
              <a:endParaRPr lang="pt-BR" sz="1600" b="1"/>
            </a:p>
          </xdr:txBody>
        </xdr:sp>
        <xdr:grpSp>
          <xdr:nvGrpSpPr>
            <xdr:cNvPr id="26" name="Agrupar 25">
              <a:extLst>
                <a:ext uri="{FF2B5EF4-FFF2-40B4-BE49-F238E27FC236}">
                  <a16:creationId xmlns:a16="http://schemas.microsoft.com/office/drawing/2014/main" id="{455CF792-FB14-4BCE-B22D-0E562E845DEC}"/>
                </a:ext>
              </a:extLst>
            </xdr:cNvPr>
            <xdr:cNvGrpSpPr/>
          </xdr:nvGrpSpPr>
          <xdr:grpSpPr>
            <a:xfrm>
              <a:off x="981074" y="1390650"/>
              <a:ext cx="2574000" cy="647700"/>
              <a:chOff x="314325" y="1171575"/>
              <a:chExt cx="2571751" cy="647700"/>
            </a:xfrm>
          </xdr:grpSpPr>
          <xdr:sp macro="[0]!ChamarCadPericia" textlink="">
            <xdr:nvSpPr>
              <xdr:cNvPr id="27" name="Retângulo: Cantos Arredondados 26">
                <a:extLst>
                  <a:ext uri="{FF2B5EF4-FFF2-40B4-BE49-F238E27FC236}">
                    <a16:creationId xmlns:a16="http://schemas.microsoft.com/office/drawing/2014/main" id="{4F2D0FDD-35CE-4922-9C64-137429E8B9B1}"/>
                  </a:ext>
                </a:extLst>
              </xdr:cNvPr>
              <xdr:cNvSpPr/>
            </xdr:nvSpPr>
            <xdr:spPr>
              <a:xfrm>
                <a:off x="352426" y="1171575"/>
                <a:ext cx="253365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1200" b="1"/>
                  <a:t>           Cadastro</a:t>
                </a:r>
                <a:r>
                  <a:rPr lang="pt-BR" sz="1200" b="1" baseline="0"/>
                  <a:t> de Pericias Agrícolas</a:t>
                </a:r>
                <a:endParaRPr lang="pt-BR" sz="1200" b="1"/>
              </a:p>
            </xdr:txBody>
          </xdr:sp>
          <xdr:pic>
            <xdr:nvPicPr>
              <xdr:cNvPr id="28" name="Imagem 27">
                <a:extLst>
                  <a:ext uri="{FF2B5EF4-FFF2-40B4-BE49-F238E27FC236}">
                    <a16:creationId xmlns:a16="http://schemas.microsoft.com/office/drawing/2014/main" id="{F5A805E8-0646-4677-A86F-3590C95475C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14325" y="1200150"/>
                <a:ext cx="609600" cy="609600"/>
              </a:xfrm>
              <a:prstGeom prst="rect">
                <a:avLst/>
              </a:prstGeom>
            </xdr:spPr>
          </xdr:pic>
        </xdr:grpSp>
        <xdr:grpSp>
          <xdr:nvGrpSpPr>
            <xdr:cNvPr id="29" name="Agrupar 28">
              <a:extLst>
                <a:ext uri="{FF2B5EF4-FFF2-40B4-BE49-F238E27FC236}">
                  <a16:creationId xmlns:a16="http://schemas.microsoft.com/office/drawing/2014/main" id="{ADBE0DA9-3110-4A58-92E8-6216EABD1714}"/>
                </a:ext>
              </a:extLst>
            </xdr:cNvPr>
            <xdr:cNvGrpSpPr/>
          </xdr:nvGrpSpPr>
          <xdr:grpSpPr>
            <a:xfrm>
              <a:off x="971550" y="2781300"/>
              <a:ext cx="2612099" cy="647700"/>
              <a:chOff x="285750" y="2562225"/>
              <a:chExt cx="2612099" cy="647700"/>
            </a:xfrm>
          </xdr:grpSpPr>
          <xdr:sp macro="[0]!ChamarCadSeguradora" textlink="">
            <xdr:nvSpPr>
              <xdr:cNvPr id="30" name="Retângulo: Cantos Arredondados 29">
                <a:extLst>
                  <a:ext uri="{FF2B5EF4-FFF2-40B4-BE49-F238E27FC236}">
                    <a16:creationId xmlns:a16="http://schemas.microsoft.com/office/drawing/2014/main" id="{441E12AC-E5B5-449D-AC54-B32148DF1F12}"/>
                  </a:ext>
                </a:extLst>
              </xdr:cNvPr>
              <xdr:cNvSpPr/>
            </xdr:nvSpPr>
            <xdr:spPr>
              <a:xfrm>
                <a:off x="323849" y="2562225"/>
                <a:ext cx="257400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indent="0" algn="ctr"/>
                <a:r>
                  <a:rPr lang="pt-BR" sz="120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 Cadastro de seguradora</a:t>
                </a:r>
              </a:p>
            </xdr:txBody>
          </xdr:sp>
          <xdr:pic>
            <xdr:nvPicPr>
              <xdr:cNvPr id="31" name="Imagem 30">
                <a:extLst>
                  <a:ext uri="{FF2B5EF4-FFF2-40B4-BE49-F238E27FC236}">
                    <a16:creationId xmlns:a16="http://schemas.microsoft.com/office/drawing/2014/main" id="{7C3DBEE1-E39D-4A7E-9161-020FC5A8C6D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285750" y="2600325"/>
                <a:ext cx="609600" cy="609600"/>
              </a:xfrm>
              <a:prstGeom prst="rect">
                <a:avLst/>
              </a:prstGeom>
            </xdr:spPr>
          </xdr:pic>
        </xdr:grpSp>
        <xdr:grpSp>
          <xdr:nvGrpSpPr>
            <xdr:cNvPr id="32" name="Agrupar 31">
              <a:extLst>
                <a:ext uri="{FF2B5EF4-FFF2-40B4-BE49-F238E27FC236}">
                  <a16:creationId xmlns:a16="http://schemas.microsoft.com/office/drawing/2014/main" id="{A4953D31-624A-4BD3-8EB8-12D36062ED64}"/>
                </a:ext>
              </a:extLst>
            </xdr:cNvPr>
            <xdr:cNvGrpSpPr/>
          </xdr:nvGrpSpPr>
          <xdr:grpSpPr>
            <a:xfrm>
              <a:off x="971551" y="2085975"/>
              <a:ext cx="2612100" cy="666750"/>
              <a:chOff x="295276" y="1866900"/>
              <a:chExt cx="2612100" cy="666750"/>
            </a:xfrm>
          </xdr:grpSpPr>
          <xdr:sp macro="[0]!ChamarCadPenhor" textlink="">
            <xdr:nvSpPr>
              <xdr:cNvPr id="33" name="Retângulo: Cantos Arredondados 32">
                <a:extLst>
                  <a:ext uri="{FF2B5EF4-FFF2-40B4-BE49-F238E27FC236}">
                    <a16:creationId xmlns:a16="http://schemas.microsoft.com/office/drawing/2014/main" id="{BCBC5217-8031-4DA6-AC26-76D5311E1B72}"/>
                  </a:ext>
                </a:extLst>
              </xdr:cNvPr>
              <xdr:cNvSpPr/>
            </xdr:nvSpPr>
            <xdr:spPr>
              <a:xfrm>
                <a:off x="333376" y="1866900"/>
                <a:ext cx="257400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1200" b="1"/>
                  <a:t>    Cadastro</a:t>
                </a:r>
                <a:r>
                  <a:rPr lang="pt-BR" sz="1200" b="1" baseline="0"/>
                  <a:t> de Penhor Rural</a:t>
                </a:r>
                <a:endParaRPr lang="pt-BR" sz="1200" b="1"/>
              </a:p>
            </xdr:txBody>
          </xdr:sp>
          <xdr:pic>
            <xdr:nvPicPr>
              <xdr:cNvPr id="34" name="Imagem 33">
                <a:extLst>
                  <a:ext uri="{FF2B5EF4-FFF2-40B4-BE49-F238E27FC236}">
                    <a16:creationId xmlns:a16="http://schemas.microsoft.com/office/drawing/2014/main" id="{BB61155D-9E13-4D62-BCE6-9878B20D35F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295276" y="1924050"/>
                <a:ext cx="609600" cy="609600"/>
              </a:xfrm>
              <a:prstGeom prst="rect">
                <a:avLst/>
              </a:prstGeom>
            </xdr:spPr>
          </xdr:pic>
        </xdr:grpSp>
        <xdr:grpSp>
          <xdr:nvGrpSpPr>
            <xdr:cNvPr id="35" name="Agrupar 34">
              <a:extLst>
                <a:ext uri="{FF2B5EF4-FFF2-40B4-BE49-F238E27FC236}">
                  <a16:creationId xmlns:a16="http://schemas.microsoft.com/office/drawing/2014/main" id="{4948D8E6-7798-4936-9AB8-0D35D5A68B06}"/>
                </a:ext>
              </a:extLst>
            </xdr:cNvPr>
            <xdr:cNvGrpSpPr/>
          </xdr:nvGrpSpPr>
          <xdr:grpSpPr>
            <a:xfrm>
              <a:off x="1009649" y="3476625"/>
              <a:ext cx="2574000" cy="647700"/>
              <a:chOff x="295275" y="3257550"/>
              <a:chExt cx="2552701" cy="647700"/>
            </a:xfrm>
          </xdr:grpSpPr>
          <xdr:sp macro="[0]!ChamarCadPerito" textlink="">
            <xdr:nvSpPr>
              <xdr:cNvPr id="36" name="Retângulo: Cantos Arredondados 35">
                <a:extLst>
                  <a:ext uri="{FF2B5EF4-FFF2-40B4-BE49-F238E27FC236}">
                    <a16:creationId xmlns:a16="http://schemas.microsoft.com/office/drawing/2014/main" id="{3A8EC8ED-00ED-44E9-9A79-A200629BF9E4}"/>
                  </a:ext>
                </a:extLst>
              </xdr:cNvPr>
              <xdr:cNvSpPr/>
            </xdr:nvSpPr>
            <xdr:spPr>
              <a:xfrm>
                <a:off x="314326" y="3257550"/>
                <a:ext cx="253365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indent="0" algn="l"/>
                <a:r>
                  <a:rPr lang="pt-BR" sz="120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              Cadastro de Peritos</a:t>
                </a:r>
              </a:p>
            </xdr:txBody>
          </xdr:sp>
          <xdr:pic>
            <xdr:nvPicPr>
              <xdr:cNvPr id="37" name="Imagem 36">
                <a:extLst>
                  <a:ext uri="{FF2B5EF4-FFF2-40B4-BE49-F238E27FC236}">
                    <a16:creationId xmlns:a16="http://schemas.microsoft.com/office/drawing/2014/main" id="{F37B41FE-69F7-4CCB-85BA-D7E1742EF87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295275" y="3267075"/>
                <a:ext cx="609600" cy="609600"/>
              </a:xfrm>
              <a:prstGeom prst="rect">
                <a:avLst/>
              </a:prstGeom>
            </xdr:spPr>
          </xdr:pic>
        </xdr:grpSp>
      </xdr:grpSp>
      <xdr:grpSp>
        <xdr:nvGrpSpPr>
          <xdr:cNvPr id="24" name="Agrupar 23">
            <a:extLst>
              <a:ext uri="{FF2B5EF4-FFF2-40B4-BE49-F238E27FC236}">
                <a16:creationId xmlns:a16="http://schemas.microsoft.com/office/drawing/2014/main" id="{FDB97FA5-742E-4389-B941-70D7A8A4BD28}"/>
              </a:ext>
            </a:extLst>
          </xdr:cNvPr>
          <xdr:cNvGrpSpPr/>
        </xdr:nvGrpSpPr>
        <xdr:grpSpPr>
          <a:xfrm>
            <a:off x="6210300" y="885825"/>
            <a:ext cx="2657475" cy="3448051"/>
            <a:chOff x="6400800" y="866775"/>
            <a:chExt cx="2657475" cy="3448051"/>
          </a:xfrm>
        </xdr:grpSpPr>
        <xdr:sp macro="" textlink="">
          <xdr:nvSpPr>
            <xdr:cNvPr id="43" name="Retângulo: Cantos Arredondados 42">
              <a:extLst>
                <a:ext uri="{FF2B5EF4-FFF2-40B4-BE49-F238E27FC236}">
                  <a16:creationId xmlns:a16="http://schemas.microsoft.com/office/drawing/2014/main" id="{745A439A-B079-4BEE-896F-68EFF529C7D6}"/>
                </a:ext>
              </a:extLst>
            </xdr:cNvPr>
            <xdr:cNvSpPr/>
          </xdr:nvSpPr>
          <xdr:spPr>
            <a:xfrm>
              <a:off x="6400800" y="866775"/>
              <a:ext cx="2657475" cy="3448051"/>
            </a:xfrm>
            <a:prstGeom prst="round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600" b="1"/>
                <a:t>Relatórios</a:t>
              </a:r>
            </a:p>
            <a:p>
              <a:pPr algn="ctr"/>
              <a:endParaRPr lang="pt-BR" sz="1600" b="1"/>
            </a:p>
          </xdr:txBody>
        </xdr:sp>
        <xdr:grpSp>
          <xdr:nvGrpSpPr>
            <xdr:cNvPr id="4" name="Agrupar 3">
              <a:extLst>
                <a:ext uri="{FF2B5EF4-FFF2-40B4-BE49-F238E27FC236}">
                  <a16:creationId xmlns:a16="http://schemas.microsoft.com/office/drawing/2014/main" id="{DE517487-781E-4225-A04B-F9CBFC7983B2}"/>
                </a:ext>
              </a:extLst>
            </xdr:cNvPr>
            <xdr:cNvGrpSpPr/>
          </xdr:nvGrpSpPr>
          <xdr:grpSpPr>
            <a:xfrm>
              <a:off x="6429375" y="1400175"/>
              <a:ext cx="2543175" cy="647700"/>
              <a:chOff x="6429375" y="1400175"/>
              <a:chExt cx="2543175" cy="647700"/>
            </a:xfrm>
          </xdr:grpSpPr>
          <xdr:sp macro="[0]!ChamaRelContasApagar" textlink="">
            <xdr:nvSpPr>
              <xdr:cNvPr id="77" name="Retângulo: Cantos Arredondados 76">
                <a:extLst>
                  <a:ext uri="{FF2B5EF4-FFF2-40B4-BE49-F238E27FC236}">
                    <a16:creationId xmlns:a16="http://schemas.microsoft.com/office/drawing/2014/main" id="{32948D41-5C56-4455-A45E-627DEB007598}"/>
                  </a:ext>
                </a:extLst>
              </xdr:cNvPr>
              <xdr:cNvSpPr/>
            </xdr:nvSpPr>
            <xdr:spPr>
              <a:xfrm>
                <a:off x="6438900" y="1400175"/>
                <a:ext cx="253365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indent="0" algn="ctr"/>
                <a:r>
                  <a:rPr lang="pt-BR" sz="105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                Relatório</a:t>
                </a:r>
                <a:r>
                  <a:rPr lang="pt-BR" sz="1050" b="1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 de </a:t>
                </a:r>
                <a:r>
                  <a:rPr lang="pt-BR" sz="105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Pagamentos</a:t>
                </a:r>
              </a:p>
            </xdr:txBody>
          </xdr:sp>
          <xdr:pic>
            <xdr:nvPicPr>
              <xdr:cNvPr id="81" name="Imagem 80">
                <a:extLst>
                  <a:ext uri="{FF2B5EF4-FFF2-40B4-BE49-F238E27FC236}">
                    <a16:creationId xmlns:a16="http://schemas.microsoft.com/office/drawing/2014/main" id="{8D77609E-1345-4E71-8C6B-EC11440B4044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6429375" y="1447799"/>
                <a:ext cx="581025" cy="581025"/>
              </a:xfrm>
              <a:prstGeom prst="rect">
                <a:avLst/>
              </a:prstGeom>
            </xdr:spPr>
          </xdr:pic>
        </xdr:grpSp>
        <xdr:grpSp>
          <xdr:nvGrpSpPr>
            <xdr:cNvPr id="13" name="Agrupar 12">
              <a:extLst>
                <a:ext uri="{FF2B5EF4-FFF2-40B4-BE49-F238E27FC236}">
                  <a16:creationId xmlns:a16="http://schemas.microsoft.com/office/drawing/2014/main" id="{9AA917B7-D837-4FDD-8717-53C012E1F8A7}"/>
                </a:ext>
              </a:extLst>
            </xdr:cNvPr>
            <xdr:cNvGrpSpPr/>
          </xdr:nvGrpSpPr>
          <xdr:grpSpPr>
            <a:xfrm>
              <a:off x="6448425" y="2095500"/>
              <a:ext cx="2533650" cy="647700"/>
              <a:chOff x="6467475" y="3495675"/>
              <a:chExt cx="2533650" cy="647700"/>
            </a:xfrm>
          </xdr:grpSpPr>
          <xdr:sp macro="[0]!ChamarContarReceber" textlink="">
            <xdr:nvSpPr>
              <xdr:cNvPr id="79" name="Retângulo: Cantos Arredondados 78">
                <a:extLst>
                  <a:ext uri="{FF2B5EF4-FFF2-40B4-BE49-F238E27FC236}">
                    <a16:creationId xmlns:a16="http://schemas.microsoft.com/office/drawing/2014/main" id="{F90C1E6F-558C-41C1-BC0F-180EEF6C27F8}"/>
                  </a:ext>
                </a:extLst>
              </xdr:cNvPr>
              <xdr:cNvSpPr/>
            </xdr:nvSpPr>
            <xdr:spPr>
              <a:xfrm>
                <a:off x="6467475" y="3495675"/>
                <a:ext cx="253365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indent="0" algn="ctr"/>
                <a:r>
                  <a:rPr lang="pt-BR" sz="105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                Relatório</a:t>
                </a:r>
                <a:r>
                  <a:rPr lang="pt-BR" sz="1050" b="1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 de </a:t>
                </a:r>
                <a:r>
                  <a:rPr lang="pt-BR" sz="105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Recebimento</a:t>
                </a:r>
              </a:p>
            </xdr:txBody>
          </xdr:sp>
          <xdr:pic>
            <xdr:nvPicPr>
              <xdr:cNvPr id="83" name="Imagem 82">
                <a:extLst>
                  <a:ext uri="{FF2B5EF4-FFF2-40B4-BE49-F238E27FC236}">
                    <a16:creationId xmlns:a16="http://schemas.microsoft.com/office/drawing/2014/main" id="{BE5C761B-4CDD-45D7-916F-39EC01D28C12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6572250" y="3495675"/>
                <a:ext cx="628650" cy="628650"/>
              </a:xfrm>
              <a:prstGeom prst="rect">
                <a:avLst/>
              </a:prstGeom>
            </xdr:spPr>
          </xdr:pic>
        </xdr:grpSp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626E6AF0-6CC3-4475-B40D-EC6EB9C6CD1B}"/>
              </a:ext>
            </a:extLst>
          </xdr:cNvPr>
          <xdr:cNvGrpSpPr/>
        </xdr:nvGrpSpPr>
        <xdr:grpSpPr>
          <a:xfrm>
            <a:off x="8991600" y="847725"/>
            <a:ext cx="2657475" cy="3448051"/>
            <a:chOff x="8991600" y="847725"/>
            <a:chExt cx="2657475" cy="3448051"/>
          </a:xfrm>
        </xdr:grpSpPr>
        <xdr:sp macro="" textlink="">
          <xdr:nvSpPr>
            <xdr:cNvPr id="44" name="Retângulo: Cantos Arredondados 43">
              <a:extLst>
                <a:ext uri="{FF2B5EF4-FFF2-40B4-BE49-F238E27FC236}">
                  <a16:creationId xmlns:a16="http://schemas.microsoft.com/office/drawing/2014/main" id="{11CD09C3-2702-46DD-B79B-F32197FA1E9E}"/>
                </a:ext>
              </a:extLst>
            </xdr:cNvPr>
            <xdr:cNvSpPr/>
          </xdr:nvSpPr>
          <xdr:spPr>
            <a:xfrm>
              <a:off x="8991600" y="847725"/>
              <a:ext cx="2657475" cy="3448051"/>
            </a:xfrm>
            <a:prstGeom prst="round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600" b="1"/>
                <a:t>Demonstrativos</a:t>
              </a:r>
            </a:p>
            <a:p>
              <a:pPr algn="ctr"/>
              <a:endParaRPr lang="pt-BR" sz="1600" b="1"/>
            </a:p>
          </xdr:txBody>
        </xdr:sp>
        <xdr:grpSp>
          <xdr:nvGrpSpPr>
            <xdr:cNvPr id="69" name="Agrupar 68">
              <a:extLst>
                <a:ext uri="{FF2B5EF4-FFF2-40B4-BE49-F238E27FC236}">
                  <a16:creationId xmlns:a16="http://schemas.microsoft.com/office/drawing/2014/main" id="{A72BDFC8-1F4A-4DA0-ABE9-949EE0396093}"/>
                </a:ext>
              </a:extLst>
            </xdr:cNvPr>
            <xdr:cNvGrpSpPr/>
          </xdr:nvGrpSpPr>
          <xdr:grpSpPr>
            <a:xfrm>
              <a:off x="9039225" y="2038350"/>
              <a:ext cx="2533650" cy="771526"/>
              <a:chOff x="9134475" y="2066925"/>
              <a:chExt cx="2533650" cy="771526"/>
            </a:xfrm>
          </xdr:grpSpPr>
          <xdr:sp macro="[0]!DashboardReceber" textlink="">
            <xdr:nvSpPr>
              <xdr:cNvPr id="63" name="Retângulo: Cantos Arredondados 62">
                <a:extLst>
                  <a:ext uri="{FF2B5EF4-FFF2-40B4-BE49-F238E27FC236}">
                    <a16:creationId xmlns:a16="http://schemas.microsoft.com/office/drawing/2014/main" id="{38F7F601-3380-462B-A2A0-9B7AD138E6D1}"/>
                  </a:ext>
                </a:extLst>
              </xdr:cNvPr>
              <xdr:cNvSpPr/>
            </xdr:nvSpPr>
            <xdr:spPr>
              <a:xfrm>
                <a:off x="9134475" y="2114550"/>
                <a:ext cx="253365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indent="0" algn="ctr"/>
                <a:r>
                  <a:rPr lang="pt-BR" sz="105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Recebimentos</a:t>
                </a:r>
              </a:p>
            </xdr:txBody>
          </xdr:sp>
          <xdr:pic macro="[0]!DashboardReceber">
            <xdr:nvPicPr>
              <xdr:cNvPr id="68" name="Imagem 67">
                <a:extLst>
                  <a:ext uri="{FF2B5EF4-FFF2-40B4-BE49-F238E27FC236}">
                    <a16:creationId xmlns:a16="http://schemas.microsoft.com/office/drawing/2014/main" id="{57E18313-068B-4E47-A71A-492D21E1DABA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9172575" y="2066925"/>
                <a:ext cx="790575" cy="771526"/>
              </a:xfrm>
              <a:prstGeom prst="rect">
                <a:avLst/>
              </a:prstGeom>
            </xdr:spPr>
          </xdr:pic>
        </xdr:grpSp>
        <xdr:grpSp>
          <xdr:nvGrpSpPr>
            <xdr:cNvPr id="66" name="Agrupar 65">
              <a:extLst>
                <a:ext uri="{FF2B5EF4-FFF2-40B4-BE49-F238E27FC236}">
                  <a16:creationId xmlns:a16="http://schemas.microsoft.com/office/drawing/2014/main" id="{BC0601C4-A8B2-49B4-A9B3-D4134C226D8A}"/>
                </a:ext>
              </a:extLst>
            </xdr:cNvPr>
            <xdr:cNvGrpSpPr/>
          </xdr:nvGrpSpPr>
          <xdr:grpSpPr>
            <a:xfrm>
              <a:off x="9039225" y="1371599"/>
              <a:ext cx="2533650" cy="714375"/>
              <a:chOff x="9134475" y="1400174"/>
              <a:chExt cx="2533650" cy="714375"/>
            </a:xfrm>
          </xdr:grpSpPr>
          <xdr:sp macro="[0]!DashboardApagar" textlink="">
            <xdr:nvSpPr>
              <xdr:cNvPr id="60" name="Retângulo: Cantos Arredondados 59">
                <a:extLst>
                  <a:ext uri="{FF2B5EF4-FFF2-40B4-BE49-F238E27FC236}">
                    <a16:creationId xmlns:a16="http://schemas.microsoft.com/office/drawing/2014/main" id="{F6D63C3D-AD8D-4FAF-9CB5-908BF4EC079D}"/>
                  </a:ext>
                </a:extLst>
              </xdr:cNvPr>
              <xdr:cNvSpPr/>
            </xdr:nvSpPr>
            <xdr:spPr>
              <a:xfrm>
                <a:off x="9134475" y="1409700"/>
                <a:ext cx="253365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indent="0" algn="ctr"/>
                <a:r>
                  <a:rPr lang="pt-BR" sz="110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Pagamentos</a:t>
                </a:r>
              </a:p>
            </xdr:txBody>
          </xdr:sp>
          <xdr:pic>
            <xdr:nvPicPr>
              <xdr:cNvPr id="65" name="Imagem 64">
                <a:extLst>
                  <a:ext uri="{FF2B5EF4-FFF2-40B4-BE49-F238E27FC236}">
                    <a16:creationId xmlns:a16="http://schemas.microsoft.com/office/drawing/2014/main" id="{08EAC8F3-124E-4ACD-9CD3-F7487F62877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9210675" y="1400174"/>
                <a:ext cx="714375" cy="714375"/>
              </a:xfrm>
              <a:prstGeom prst="rect">
                <a:avLst/>
              </a:prstGeom>
            </xdr:spPr>
          </xdr:pic>
        </xdr:grpSp>
        <xdr:grpSp>
          <xdr:nvGrpSpPr>
            <xdr:cNvPr id="10" name="Agrupar 9">
              <a:extLst>
                <a:ext uri="{FF2B5EF4-FFF2-40B4-BE49-F238E27FC236}">
                  <a16:creationId xmlns:a16="http://schemas.microsoft.com/office/drawing/2014/main" id="{441D8F75-C8FB-425E-9222-21E2AD529E83}"/>
                </a:ext>
              </a:extLst>
            </xdr:cNvPr>
            <xdr:cNvGrpSpPr/>
          </xdr:nvGrpSpPr>
          <xdr:grpSpPr>
            <a:xfrm>
              <a:off x="9048750" y="2724150"/>
              <a:ext cx="2533650" cy="723900"/>
              <a:chOff x="9144000" y="3467100"/>
              <a:chExt cx="2533650" cy="723900"/>
            </a:xfrm>
          </xdr:grpSpPr>
          <xdr:sp macro="[0]!ChamaVistoriaPendentes" textlink="">
            <xdr:nvSpPr>
              <xdr:cNvPr id="51" name="Retângulo: Cantos Arredondados 50">
                <a:extLst>
                  <a:ext uri="{FF2B5EF4-FFF2-40B4-BE49-F238E27FC236}">
                    <a16:creationId xmlns:a16="http://schemas.microsoft.com/office/drawing/2014/main" id="{0C8E3579-0430-4158-9AD9-7205F3872BEC}"/>
                  </a:ext>
                </a:extLst>
              </xdr:cNvPr>
              <xdr:cNvSpPr/>
            </xdr:nvSpPr>
            <xdr:spPr>
              <a:xfrm>
                <a:off x="9144000" y="3505200"/>
                <a:ext cx="253365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indent="0" algn="ctr"/>
                <a:r>
                  <a:rPr lang="pt-BR" sz="105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Pendência</a:t>
                </a:r>
                <a:r>
                  <a:rPr lang="pt-BR" sz="1050" b="1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 de Vistoria</a:t>
                </a:r>
                <a:endPara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pic>
            <xdr:nvPicPr>
              <xdr:cNvPr id="5" name="Imagem 4">
                <a:extLst>
                  <a:ext uri="{FF2B5EF4-FFF2-40B4-BE49-F238E27FC236}">
                    <a16:creationId xmlns:a16="http://schemas.microsoft.com/office/drawing/2014/main" id="{7F6D8ADE-1A68-4527-B966-795D2182E1D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9144000" y="3467100"/>
                <a:ext cx="723900" cy="723900"/>
              </a:xfrm>
              <a:prstGeom prst="rect">
                <a:avLst/>
              </a:prstGeom>
            </xdr:spPr>
          </xdr:pic>
        </xdr:grpSp>
      </xdr:grpSp>
      <xdr:grpSp>
        <xdr:nvGrpSpPr>
          <xdr:cNvPr id="45" name="Agrupar 44">
            <a:extLst>
              <a:ext uri="{FF2B5EF4-FFF2-40B4-BE49-F238E27FC236}">
                <a16:creationId xmlns:a16="http://schemas.microsoft.com/office/drawing/2014/main" id="{D0652093-97F7-4C73-85EA-3A452F3A0855}"/>
              </a:ext>
            </a:extLst>
          </xdr:cNvPr>
          <xdr:cNvGrpSpPr/>
        </xdr:nvGrpSpPr>
        <xdr:grpSpPr>
          <a:xfrm>
            <a:off x="3419475" y="895350"/>
            <a:ext cx="2657475" cy="3448051"/>
            <a:chOff x="4591050" y="1028700"/>
            <a:chExt cx="2657475" cy="3448051"/>
          </a:xfrm>
        </xdr:grpSpPr>
        <xdr:grpSp>
          <xdr:nvGrpSpPr>
            <xdr:cNvPr id="23" name="Agrupar 22">
              <a:extLst>
                <a:ext uri="{FF2B5EF4-FFF2-40B4-BE49-F238E27FC236}">
                  <a16:creationId xmlns:a16="http://schemas.microsoft.com/office/drawing/2014/main" id="{CAD70086-9ED8-4EFB-97F5-D54D22D696E1}"/>
                </a:ext>
              </a:extLst>
            </xdr:cNvPr>
            <xdr:cNvGrpSpPr/>
          </xdr:nvGrpSpPr>
          <xdr:grpSpPr>
            <a:xfrm>
              <a:off x="4591050" y="1028700"/>
              <a:ext cx="2657475" cy="3448051"/>
              <a:chOff x="3695700" y="866775"/>
              <a:chExt cx="2657475" cy="3448051"/>
            </a:xfrm>
          </xdr:grpSpPr>
          <xdr:sp macro="" textlink="">
            <xdr:nvSpPr>
              <xdr:cNvPr id="38" name="Retângulo: Cantos Arredondados 37">
                <a:extLst>
                  <a:ext uri="{FF2B5EF4-FFF2-40B4-BE49-F238E27FC236}">
                    <a16:creationId xmlns:a16="http://schemas.microsoft.com/office/drawing/2014/main" id="{D6AA1E49-772A-4529-BBC8-393660C246FA}"/>
                  </a:ext>
                </a:extLst>
              </xdr:cNvPr>
              <xdr:cNvSpPr/>
            </xdr:nvSpPr>
            <xdr:spPr>
              <a:xfrm>
                <a:off x="3695700" y="866775"/>
                <a:ext cx="2657475" cy="3448051"/>
              </a:xfrm>
              <a:prstGeom prst="roundRect">
                <a:avLst/>
              </a:prstGeom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pt-BR" sz="1600" b="1"/>
                  <a:t>Lançamentos</a:t>
                </a:r>
              </a:p>
              <a:p>
                <a:pPr algn="ctr"/>
                <a:endParaRPr lang="pt-BR" sz="1600" b="1"/>
              </a:p>
            </xdr:txBody>
          </xdr:sp>
          <xdr:grpSp>
            <xdr:nvGrpSpPr>
              <xdr:cNvPr id="40" name="Agrupar 39">
                <a:extLst>
                  <a:ext uri="{FF2B5EF4-FFF2-40B4-BE49-F238E27FC236}">
                    <a16:creationId xmlns:a16="http://schemas.microsoft.com/office/drawing/2014/main" id="{8740AB46-5184-4BBC-B929-2F34F481E318}"/>
                  </a:ext>
                </a:extLst>
              </xdr:cNvPr>
              <xdr:cNvGrpSpPr/>
            </xdr:nvGrpSpPr>
            <xdr:grpSpPr>
              <a:xfrm>
                <a:off x="3762376" y="2095500"/>
                <a:ext cx="2574000" cy="647700"/>
                <a:chOff x="9886951" y="1905000"/>
                <a:chExt cx="2533650" cy="647700"/>
              </a:xfrm>
            </xdr:grpSpPr>
            <xdr:sp macro="[0]!ChamarLancPenhor" textlink="">
              <xdr:nvSpPr>
                <xdr:cNvPr id="14" name="Retângulo: Cantos Arredondados 13">
                  <a:extLst>
                    <a:ext uri="{FF2B5EF4-FFF2-40B4-BE49-F238E27FC236}">
                      <a16:creationId xmlns:a16="http://schemas.microsoft.com/office/drawing/2014/main" id="{DB8DA108-148E-4C05-8F5A-FE6394D039EA}"/>
                    </a:ext>
                  </a:extLst>
                </xdr:cNvPr>
                <xdr:cNvSpPr/>
              </xdr:nvSpPr>
              <xdr:spPr>
                <a:xfrm>
                  <a:off x="9886951" y="1905000"/>
                  <a:ext cx="2533650" cy="647700"/>
                </a:xfrm>
                <a:prstGeom prst="roundRect">
                  <a:avLst/>
                </a:prstGeom>
                <a:ln/>
              </xdr:spPr>
              <xdr:style>
                <a:lnRef idx="2">
                  <a:schemeClr val="accent6"/>
                </a:lnRef>
                <a:fillRef idx="1">
                  <a:schemeClr val="lt1"/>
                </a:fillRef>
                <a:effectRef idx="0">
                  <a:schemeClr val="accent6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ctr"/>
                <a:lstStyle/>
                <a:p>
                  <a:pPr marL="0" indent="0" algn="ctr"/>
                  <a:r>
                    <a:rPr lang="pt-BR" sz="1200" b="1" baseline="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rPr>
                    <a:t>         </a:t>
                  </a:r>
                  <a:r>
                    <a:rPr lang="pt-BR" sz="1200" b="1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rPr>
                    <a:t>Lançamento de Penhor</a:t>
                  </a:r>
                </a:p>
              </xdr:txBody>
            </xdr:sp>
            <xdr:pic>
              <xdr:nvPicPr>
                <xdr:cNvPr id="18" name="Imagem 17">
                  <a:extLst>
                    <a:ext uri="{FF2B5EF4-FFF2-40B4-BE49-F238E27FC236}">
                      <a16:creationId xmlns:a16="http://schemas.microsoft.com/office/drawing/2014/main" id="{BED0CF73-78FC-4D9D-94C0-4183228FFCD4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53625" y="1914525"/>
                  <a:ext cx="609600" cy="609600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53" name="Agrupar 52">
                <a:extLst>
                  <a:ext uri="{FF2B5EF4-FFF2-40B4-BE49-F238E27FC236}">
                    <a16:creationId xmlns:a16="http://schemas.microsoft.com/office/drawing/2014/main" id="{34A51154-8BCD-49C2-9173-0CFAE77E5BCA}"/>
                  </a:ext>
                </a:extLst>
              </xdr:cNvPr>
              <xdr:cNvGrpSpPr/>
            </xdr:nvGrpSpPr>
            <xdr:grpSpPr>
              <a:xfrm>
                <a:off x="3752851" y="2781300"/>
                <a:ext cx="2574000" cy="647700"/>
                <a:chOff x="3752851" y="2781300"/>
                <a:chExt cx="2574000" cy="647700"/>
              </a:xfrm>
            </xdr:grpSpPr>
            <xdr:sp macro="[0]!ChamarPagamento" textlink="">
              <xdr:nvSpPr>
                <xdr:cNvPr id="46" name="Retângulo: Cantos Arredondados 45">
                  <a:extLst>
                    <a:ext uri="{FF2B5EF4-FFF2-40B4-BE49-F238E27FC236}">
                      <a16:creationId xmlns:a16="http://schemas.microsoft.com/office/drawing/2014/main" id="{EED96968-216E-4F80-9916-9A5530655597}"/>
                    </a:ext>
                  </a:extLst>
                </xdr:cNvPr>
                <xdr:cNvSpPr/>
              </xdr:nvSpPr>
              <xdr:spPr>
                <a:xfrm>
                  <a:off x="3752851" y="2781300"/>
                  <a:ext cx="2574000" cy="647700"/>
                </a:xfrm>
                <a:prstGeom prst="roundRect">
                  <a:avLst/>
                </a:prstGeom>
                <a:ln/>
              </xdr:spPr>
              <xdr:style>
                <a:lnRef idx="2">
                  <a:schemeClr val="accent6"/>
                </a:lnRef>
                <a:fillRef idx="1">
                  <a:schemeClr val="lt1"/>
                </a:fillRef>
                <a:effectRef idx="0">
                  <a:schemeClr val="accent6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ctr"/>
                <a:lstStyle/>
                <a:p>
                  <a:pPr marL="0" indent="0" algn="ctr"/>
                  <a:r>
                    <a:rPr lang="pt-BR" sz="1200" b="1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rPr>
                    <a:t>      Pagamentos Peritos</a:t>
                  </a:r>
                </a:p>
              </xdr:txBody>
            </xdr:sp>
            <xdr:pic>
              <xdr:nvPicPr>
                <xdr:cNvPr id="49" name="Imagem 48">
                  <a:extLst>
                    <a:ext uri="{FF2B5EF4-FFF2-40B4-BE49-F238E27FC236}">
                      <a16:creationId xmlns:a16="http://schemas.microsoft.com/office/drawing/2014/main" id="{FCA40E52-DB80-471C-B1A8-25E6827F3D5F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3886200" y="2790825"/>
                  <a:ext cx="609600" cy="609600"/>
                </a:xfrm>
                <a:prstGeom prst="rect">
                  <a:avLst/>
                </a:prstGeom>
              </xdr:spPr>
            </xdr:pic>
          </xdr:grpSp>
          <xdr:sp macro="[0]!ChamarRecebimento" textlink="">
            <xdr:nvSpPr>
              <xdr:cNvPr id="50" name="Retângulo: Cantos Arredondados 49">
                <a:extLst>
                  <a:ext uri="{FF2B5EF4-FFF2-40B4-BE49-F238E27FC236}">
                    <a16:creationId xmlns:a16="http://schemas.microsoft.com/office/drawing/2014/main" id="{57B1C42C-19F9-4CDA-AA34-BBAE846F43FF}"/>
                  </a:ext>
                </a:extLst>
              </xdr:cNvPr>
              <xdr:cNvSpPr/>
            </xdr:nvSpPr>
            <xdr:spPr>
              <a:xfrm>
                <a:off x="3743325" y="3467100"/>
                <a:ext cx="257400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indent="0" algn="r"/>
                <a:r>
                  <a:rPr lang="pt-BR" sz="120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      Recebimento Seguradoras</a:t>
                </a:r>
              </a:p>
            </xdr:txBody>
          </xdr:sp>
          <xdr:grpSp>
            <xdr:nvGrpSpPr>
              <xdr:cNvPr id="39" name="Agrupar 38">
                <a:extLst>
                  <a:ext uri="{FF2B5EF4-FFF2-40B4-BE49-F238E27FC236}">
                    <a16:creationId xmlns:a16="http://schemas.microsoft.com/office/drawing/2014/main" id="{B4229E61-2CE6-4CDC-843C-249626192090}"/>
                  </a:ext>
                </a:extLst>
              </xdr:cNvPr>
              <xdr:cNvGrpSpPr/>
            </xdr:nvGrpSpPr>
            <xdr:grpSpPr>
              <a:xfrm>
                <a:off x="3743326" y="1390650"/>
                <a:ext cx="2574000" cy="647700"/>
                <a:chOff x="9858376" y="1171575"/>
                <a:chExt cx="2533650" cy="647700"/>
              </a:xfrm>
            </xdr:grpSpPr>
            <xdr:sp macro="[0]!ChamarLancPericia" textlink="">
              <xdr:nvSpPr>
                <xdr:cNvPr id="17" name="Retângulo: Cantos Arredondados 16">
                  <a:extLst>
                    <a:ext uri="{FF2B5EF4-FFF2-40B4-BE49-F238E27FC236}">
                      <a16:creationId xmlns:a16="http://schemas.microsoft.com/office/drawing/2014/main" id="{7A1AB208-7E87-478F-AAE2-AEE61C4AD456}"/>
                    </a:ext>
                  </a:extLst>
                </xdr:cNvPr>
                <xdr:cNvSpPr/>
              </xdr:nvSpPr>
              <xdr:spPr>
                <a:xfrm>
                  <a:off x="9858376" y="1171575"/>
                  <a:ext cx="2533650" cy="647700"/>
                </a:xfrm>
                <a:prstGeom prst="roundRect">
                  <a:avLst/>
                </a:prstGeom>
                <a:ln/>
              </xdr:spPr>
              <xdr:style>
                <a:lnRef idx="2">
                  <a:schemeClr val="accent6"/>
                </a:lnRef>
                <a:fillRef idx="1">
                  <a:schemeClr val="lt1"/>
                </a:fillRef>
                <a:effectRef idx="0">
                  <a:schemeClr val="accent6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ctr"/>
                <a:lstStyle/>
                <a:p>
                  <a:pPr marL="0" indent="0" algn="ctr"/>
                  <a:r>
                    <a:rPr lang="pt-BR" sz="1200" b="1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rPr>
                    <a:t>          Lançamento de Pericias </a:t>
                  </a:r>
                </a:p>
              </xdr:txBody>
            </xdr:sp>
            <xdr:pic>
              <xdr:nvPicPr>
                <xdr:cNvPr id="15" name="Imagem 14">
                  <a:extLst>
                    <a:ext uri="{FF2B5EF4-FFF2-40B4-BE49-F238E27FC236}">
                      <a16:creationId xmlns:a16="http://schemas.microsoft.com/office/drawing/2014/main" id="{B793AEFE-20DA-4046-B155-5D4F1AA39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15525" y="1209675"/>
                  <a:ext cx="609600" cy="609600"/>
                </a:xfrm>
                <a:prstGeom prst="rect">
                  <a:avLst/>
                </a:prstGeom>
              </xdr:spPr>
            </xdr:pic>
          </xdr:grpSp>
        </xdr:grpSp>
        <xdr:pic>
          <xdr:nvPicPr>
            <xdr:cNvPr id="52" name="Imagem 51">
              <a:extLst>
                <a:ext uri="{FF2B5EF4-FFF2-40B4-BE49-F238E27FC236}">
                  <a16:creationId xmlns:a16="http://schemas.microsoft.com/office/drawing/2014/main" id="{A0B6A9BA-08C4-4961-A242-BFAE979EF5E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724400" y="3638550"/>
              <a:ext cx="609600" cy="60960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66674</xdr:rowOff>
    </xdr:from>
    <xdr:to>
      <xdr:col>13</xdr:col>
      <xdr:colOff>914400</xdr:colOff>
      <xdr:row>1</xdr:row>
      <xdr:rowOff>228600</xdr:rowOff>
    </xdr:to>
    <xdr:sp macro="[0]!RelVistori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CB37867-BDEA-4AAE-91DD-037ADB05B539}"/>
            </a:ext>
          </a:extLst>
        </xdr:cNvPr>
        <xdr:cNvSpPr/>
      </xdr:nvSpPr>
      <xdr:spPr>
        <a:xfrm>
          <a:off x="10448925" y="66674"/>
          <a:ext cx="838200" cy="352426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1</xdr:row>
      <xdr:rowOff>9523</xdr:rowOff>
    </xdr:from>
    <xdr:to>
      <xdr:col>0</xdr:col>
      <xdr:colOff>476250</xdr:colOff>
      <xdr:row>1</xdr:row>
      <xdr:rowOff>219073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2DE5FF19-4341-40F2-AD07-9D550798AC5D}"/>
            </a:ext>
          </a:extLst>
        </xdr:cNvPr>
        <xdr:cNvSpPr/>
      </xdr:nvSpPr>
      <xdr:spPr>
        <a:xfrm rot="10800000">
          <a:off x="114300" y="200023"/>
          <a:ext cx="361950" cy="209550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28571</xdr:colOff>
      <xdr:row>0</xdr:row>
      <xdr:rowOff>47624</xdr:rowOff>
    </xdr:from>
    <xdr:to>
      <xdr:col>2</xdr:col>
      <xdr:colOff>586421</xdr:colOff>
      <xdr:row>0</xdr:row>
      <xdr:rowOff>407624</xdr:rowOff>
    </xdr:to>
    <xdr:sp macro="[0]!AtualizarARecebe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16F4AA3-EE83-4CD0-80A3-8405272D5D64}"/>
            </a:ext>
          </a:extLst>
        </xdr:cNvPr>
        <xdr:cNvSpPr/>
      </xdr:nvSpPr>
      <xdr:spPr>
        <a:xfrm>
          <a:off x="28571" y="47624"/>
          <a:ext cx="2520000" cy="360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Atualizar dados tabela</a:t>
          </a:r>
          <a:r>
            <a:rPr lang="pt-BR" sz="1100" baseline="0">
              <a:solidFill>
                <a:sysClr val="windowText" lastClr="000000"/>
              </a:solidFill>
            </a:rPr>
            <a:t> dinâmica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628648</xdr:colOff>
      <xdr:row>0</xdr:row>
      <xdr:rowOff>47624</xdr:rowOff>
    </xdr:from>
    <xdr:to>
      <xdr:col>5</xdr:col>
      <xdr:colOff>281623</xdr:colOff>
      <xdr:row>0</xdr:row>
      <xdr:rowOff>407624</xdr:rowOff>
    </xdr:to>
    <xdr:sp macro="[0]!AtualizarSeguradora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5AB52F54-0EAE-4C44-8D80-F06A02133720}"/>
            </a:ext>
          </a:extLst>
        </xdr:cNvPr>
        <xdr:cNvSpPr/>
      </xdr:nvSpPr>
      <xdr:spPr>
        <a:xfrm>
          <a:off x="2590798" y="47624"/>
          <a:ext cx="2520000" cy="360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Seguradora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323850</xdr:colOff>
      <xdr:row>0</xdr:row>
      <xdr:rowOff>47625</xdr:rowOff>
    </xdr:from>
    <xdr:to>
      <xdr:col>8</xdr:col>
      <xdr:colOff>434025</xdr:colOff>
      <xdr:row>0</xdr:row>
      <xdr:rowOff>407625</xdr:rowOff>
    </xdr:to>
    <xdr:sp macro="[0]!AtaulizarPeritos2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FC438662-179D-404A-930F-7A581A004360}"/>
            </a:ext>
          </a:extLst>
        </xdr:cNvPr>
        <xdr:cNvSpPr/>
      </xdr:nvSpPr>
      <xdr:spPr>
        <a:xfrm>
          <a:off x="5153025" y="47625"/>
          <a:ext cx="2520000" cy="360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 Peritos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6FB167F-3225-45B7-B62D-49CD1E3506FE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Receber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8" name="Seta: para a Direita 7">
          <a:extLst>
            <a:ext uri="{FF2B5EF4-FFF2-40B4-BE49-F238E27FC236}">
              <a16:creationId xmlns:a16="http://schemas.microsoft.com/office/drawing/2014/main" id="{F4DF581F-8C18-4EAD-994E-996C9573357B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466725</xdr:colOff>
      <xdr:row>1</xdr:row>
      <xdr:rowOff>47625</xdr:rowOff>
    </xdr:from>
    <xdr:to>
      <xdr:col>14</xdr:col>
      <xdr:colOff>161925</xdr:colOff>
      <xdr:row>15</xdr:row>
      <xdr:rowOff>123825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64DBE922-91B8-474C-B4A0-DDAA367F4D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352425</xdr:colOff>
      <xdr:row>1</xdr:row>
      <xdr:rowOff>47625</xdr:rowOff>
    </xdr:from>
    <xdr:to>
      <xdr:col>20</xdr:col>
      <xdr:colOff>0</xdr:colOff>
      <xdr:row>15</xdr:row>
      <xdr:rowOff>123825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D32F2BA8-1895-4724-9AFC-5589789DAD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361949</xdr:colOff>
      <xdr:row>15</xdr:row>
      <xdr:rowOff>95250</xdr:rowOff>
    </xdr:from>
    <xdr:to>
      <xdr:col>19</xdr:col>
      <xdr:colOff>447674</xdr:colOff>
      <xdr:row>28</xdr:row>
      <xdr:rowOff>28575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80205199-38E7-4B7F-81F9-584A3194FE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</xdr:col>
      <xdr:colOff>104775</xdr:colOff>
      <xdr:row>8</xdr:row>
      <xdr:rowOff>152400</xdr:rowOff>
    </xdr:from>
    <xdr:to>
      <xdr:col>6</xdr:col>
      <xdr:colOff>104775</xdr:colOff>
      <xdr:row>22</xdr:row>
      <xdr:rowOff>9525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3" name="PERITO">
              <a:extLst>
                <a:ext uri="{FF2B5EF4-FFF2-40B4-BE49-F238E27FC236}">
                  <a16:creationId xmlns:a16="http://schemas.microsoft.com/office/drawing/2014/main" id="{0DD37EBA-8514-45BD-B4AF-5275CC5C2D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3575" y="19907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22</xdr:row>
      <xdr:rowOff>19051</xdr:rowOff>
    </xdr:from>
    <xdr:to>
      <xdr:col>3</xdr:col>
      <xdr:colOff>104775</xdr:colOff>
      <xdr:row>28</xdr:row>
      <xdr:rowOff>1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4" name="STATUS">
              <a:extLst>
                <a:ext uri="{FF2B5EF4-FFF2-40B4-BE49-F238E27FC236}">
                  <a16:creationId xmlns:a16="http://schemas.microsoft.com/office/drawing/2014/main" id="{B2F8E92A-EFA0-4B81-BB3C-ACE46D37BF2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4524376"/>
              <a:ext cx="182880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95250</xdr:colOff>
      <xdr:row>8</xdr:row>
      <xdr:rowOff>152400</xdr:rowOff>
    </xdr:from>
    <xdr:to>
      <xdr:col>3</xdr:col>
      <xdr:colOff>95250</xdr:colOff>
      <xdr:row>22</xdr:row>
      <xdr:rowOff>9525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5" name="SEGURADORA">
              <a:extLst>
                <a:ext uri="{FF2B5EF4-FFF2-40B4-BE49-F238E27FC236}">
                  <a16:creationId xmlns:a16="http://schemas.microsoft.com/office/drawing/2014/main" id="{FD4FA6E9-A4AE-49B2-B761-F7867B97D0F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" y="19907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76200</xdr:colOff>
      <xdr:row>1</xdr:row>
      <xdr:rowOff>47625</xdr:rowOff>
    </xdr:from>
    <xdr:to>
      <xdr:col>6</xdr:col>
      <xdr:colOff>85726</xdr:colOff>
      <xdr:row>8</xdr:row>
      <xdr:rowOff>85725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16" name="DT LANCAMENTO">
              <a:extLst>
                <a:ext uri="{FF2B5EF4-FFF2-40B4-BE49-F238E27FC236}">
                  <a16:creationId xmlns:a16="http://schemas.microsoft.com/office/drawing/2014/main" id="{B0C0006F-1228-4D31-9467-7B063EF9E3C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T LANCAMENT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200" y="552450"/>
              <a:ext cx="3667126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0</xdr:row>
      <xdr:rowOff>85725</xdr:rowOff>
    </xdr:from>
    <xdr:to>
      <xdr:col>0</xdr:col>
      <xdr:colOff>1390651</xdr:colOff>
      <xdr:row>0</xdr:row>
      <xdr:rowOff>381000</xdr:rowOff>
    </xdr:to>
    <xdr:sp macro="[0]!AtualizarAPag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D431E2B-01BE-4C03-AF60-0BC10D32805C}"/>
            </a:ext>
          </a:extLst>
        </xdr:cNvPr>
        <xdr:cNvSpPr/>
      </xdr:nvSpPr>
      <xdr:spPr>
        <a:xfrm>
          <a:off x="219075" y="85725"/>
          <a:ext cx="1171576" cy="29527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9525</xdr:colOff>
      <xdr:row>0</xdr:row>
      <xdr:rowOff>19050</xdr:rowOff>
    </xdr:from>
    <xdr:to>
      <xdr:col>18</xdr:col>
      <xdr:colOff>571501</xdr:colOff>
      <xdr:row>1</xdr:row>
      <xdr:rowOff>0</xdr:rowOff>
    </xdr:to>
    <xdr:sp macro="[0]!AtualizaSeguradora2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C69BEE9C-80FC-460B-8E51-CA787747A1DD}"/>
            </a:ext>
          </a:extLst>
        </xdr:cNvPr>
        <xdr:cNvSpPr/>
      </xdr:nvSpPr>
      <xdr:spPr>
        <a:xfrm>
          <a:off x="15649575" y="19050"/>
          <a:ext cx="1733551" cy="50482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 seguradora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24</xdr:col>
      <xdr:colOff>514351</xdr:colOff>
      <xdr:row>1</xdr:row>
      <xdr:rowOff>0</xdr:rowOff>
    </xdr:to>
    <xdr:sp macro="[0]!AtaulizarPerito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716A72BD-0678-4EC3-8C6F-028A4B3AE091}"/>
            </a:ext>
          </a:extLst>
        </xdr:cNvPr>
        <xdr:cNvSpPr/>
      </xdr:nvSpPr>
      <xdr:spPr>
        <a:xfrm>
          <a:off x="19821525" y="0"/>
          <a:ext cx="1733551" cy="50482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 Peritos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886C57C-9E25-4D68-B594-8A5486E74589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Receber</a:t>
          </a:r>
        </a:p>
      </xdr:txBody>
    </xdr:sp>
    <xdr:clientData/>
  </xdr:twoCellAnchor>
  <xdr:twoCellAnchor editAs="oneCell">
    <xdr:from>
      <xdr:col>3</xdr:col>
      <xdr:colOff>142875</xdr:colOff>
      <xdr:row>9</xdr:row>
      <xdr:rowOff>9525</xdr:rowOff>
    </xdr:from>
    <xdr:to>
      <xdr:col>3</xdr:col>
      <xdr:colOff>142875</xdr:colOff>
      <xdr:row>22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ERITO 1">
              <a:extLst>
                <a:ext uri="{FF2B5EF4-FFF2-40B4-BE49-F238E27FC236}">
                  <a16:creationId xmlns:a16="http://schemas.microsoft.com/office/drawing/2014/main" id="{18D5E8BB-1512-4D2B-A348-59B4982DA6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675" y="2038350"/>
              <a:ext cx="0" cy="2533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152400</xdr:colOff>
      <xdr:row>22</xdr:row>
      <xdr:rowOff>114300</xdr:rowOff>
    </xdr:from>
    <xdr:to>
      <xdr:col>3</xdr:col>
      <xdr:colOff>152400</xdr:colOff>
      <xdr:row>28</xdr:row>
      <xdr:rowOff>133349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3ACBBB5D-E786-4264-ABBE-FD2B80DEC79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81200" y="4619625"/>
              <a:ext cx="0" cy="1162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22</xdr:row>
      <xdr:rowOff>104776</xdr:rowOff>
    </xdr:from>
    <xdr:to>
      <xdr:col>0</xdr:col>
      <xdr:colOff>104775</xdr:colOff>
      <xdr:row>28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TATUS 1">
              <a:extLst>
                <a:ext uri="{FF2B5EF4-FFF2-40B4-BE49-F238E27FC236}">
                  <a16:creationId xmlns:a16="http://schemas.microsoft.com/office/drawing/2014/main" id="{B578A21B-8F25-455D-85DD-702F4EE03B6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4610101"/>
              <a:ext cx="0" cy="1181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9</xdr:row>
      <xdr:rowOff>9525</xdr:rowOff>
    </xdr:from>
    <xdr:to>
      <xdr:col>0</xdr:col>
      <xdr:colOff>104775</xdr:colOff>
      <xdr:row>22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SEGURADORA 1">
              <a:extLst>
                <a:ext uri="{FF2B5EF4-FFF2-40B4-BE49-F238E27FC236}">
                  <a16:creationId xmlns:a16="http://schemas.microsoft.com/office/drawing/2014/main" id="{67636B51-C17F-49B7-9B66-D17CEDDA5E1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2038350"/>
              <a:ext cx="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7" name="Seta: para a Direita 6">
          <a:extLst>
            <a:ext uri="{FF2B5EF4-FFF2-40B4-BE49-F238E27FC236}">
              <a16:creationId xmlns:a16="http://schemas.microsoft.com/office/drawing/2014/main" id="{BFBF9689-FE61-464F-87CE-C599D123C029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C59B1F61-315D-468E-B0B3-B582162DB850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Pagar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16" name="Seta: para a Direita 15">
          <a:extLst>
            <a:ext uri="{FF2B5EF4-FFF2-40B4-BE49-F238E27FC236}">
              <a16:creationId xmlns:a16="http://schemas.microsoft.com/office/drawing/2014/main" id="{6BDA5EE0-BDA0-4848-B59E-20B1BF624C0D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47625</xdr:colOff>
      <xdr:row>0</xdr:row>
      <xdr:rowOff>47625</xdr:rowOff>
    </xdr:from>
    <xdr:to>
      <xdr:col>12</xdr:col>
      <xdr:colOff>228600</xdr:colOff>
      <xdr:row>0</xdr:row>
      <xdr:rowOff>381000</xdr:rowOff>
    </xdr:to>
    <xdr:sp macro="[0]!FiltroContasApag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51EAB90-9A81-44F7-AD73-BEAE1F8C129B}"/>
            </a:ext>
          </a:extLst>
        </xdr:cNvPr>
        <xdr:cNvSpPr/>
      </xdr:nvSpPr>
      <xdr:spPr>
        <a:xfrm>
          <a:off x="11115675" y="47625"/>
          <a:ext cx="86677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CFC8512B-6F6B-4AEE-AE43-5E744B17AC8B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1000125</xdr:colOff>
      <xdr:row>0</xdr:row>
      <xdr:rowOff>47625</xdr:rowOff>
    </xdr:from>
    <xdr:to>
      <xdr:col>12</xdr:col>
      <xdr:colOff>523875</xdr:colOff>
      <xdr:row>0</xdr:row>
      <xdr:rowOff>381000</xdr:rowOff>
    </xdr:to>
    <xdr:sp macro="[0]!FiltroContasRecebe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D54560-D5AC-4663-9D50-E2299590AF54}"/>
            </a:ext>
          </a:extLst>
        </xdr:cNvPr>
        <xdr:cNvSpPr/>
      </xdr:nvSpPr>
      <xdr:spPr>
        <a:xfrm>
          <a:off x="11553825" y="47625"/>
          <a:ext cx="800100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0D82202A-19D7-42F9-BE78-572DB0E88BF9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59.025086689813" createdVersion="6" refreshedVersion="6" minRefreshableVersion="3" recordCount="2" xr:uid="{D166E7A9-87FE-4228-9291-9CD046157291}">
  <cacheSource type="worksheet">
    <worksheetSource name="Tabela4"/>
  </cacheSource>
  <cacheFields count="36">
    <cacheField name="DT RECEBIMENTO" numFmtId="14">
      <sharedItems containsSemiMixedTypes="0" containsNonDate="0" containsDate="1" containsString="0" minDate="2020-01-01T00:00:00" maxDate="2021-02-22T00:00:00" count="7">
        <d v="2021-02-16T00:00:00"/>
        <d v="2021-02-15T00:00:00"/>
        <d v="2021-02-20T00:00:00" u="1"/>
        <d v="2021-02-21T00:00:00" u="1"/>
        <d v="2021-02-01T00:00:00" u="1"/>
        <d v="2021-02-10T00:00:00" u="1"/>
        <d v="2020-01-01T00:00:00" u="1"/>
      </sharedItems>
    </cacheField>
    <cacheField name="NF" numFmtId="0">
      <sharedItems containsString="0" containsBlank="1" containsNumber="1" containsInteger="1" minValue="1" maxValue="1"/>
    </cacheField>
    <cacheField name="DT VISTORIA " numFmtId="0">
      <sharedItems containsDate="1" containsBlank="1" containsMixedTypes="1" minDate="2021-01-01T00:00:00" maxDate="2021-02-22T00:00:00" count="4">
        <s v="17/02/2021"/>
        <m/>
        <d v="2021-02-21T00:00:00" u="1"/>
        <d v="2021-01-01T00:00:00" u="1"/>
      </sharedItems>
    </cacheField>
    <cacheField name="DT REVISTORIA" numFmtId="0">
      <sharedItems containsNonDate="0" containsString="0" containsBlank="1"/>
    </cacheField>
    <cacheField name="APÓLICE " numFmtId="0">
      <sharedItems containsNonDate="0" containsString="0" containsBlank="1"/>
    </cacheField>
    <cacheField name="SINISTRO" numFmtId="0">
      <sharedItems containsSemiMixedTypes="0" containsString="0" containsNumber="1" containsInteger="1" minValue="0" maxValue="12587" count="8">
        <n v="2"/>
        <n v="1"/>
        <n v="0" u="1"/>
        <n v="1253" u="1"/>
        <n v="145" u="1"/>
        <n v="123" u="1"/>
        <n v="12258" u="1"/>
        <n v="12587" u="1"/>
      </sharedItems>
    </cacheField>
    <cacheField name="SEGURADO" numFmtId="0">
      <sharedItems containsMixedTypes="1" containsNumber="1" containsInteger="1" minValue="0" maxValue="0" count="3">
        <s v="Maria"/>
        <s v="Pedro"/>
        <n v="0" u="1"/>
      </sharedItems>
    </cacheField>
    <cacheField name="MUNICIPIO " numFmtId="0">
      <sharedItems containsMixedTypes="1" containsNumber="1" containsInteger="1" minValue="0" maxValue="0" count="2">
        <s v="Toledo"/>
        <n v="0" u="1"/>
      </sharedItems>
    </cacheField>
    <cacheField name="UF" numFmtId="0">
      <sharedItems containsMixedTypes="1" containsNumber="1" containsInteger="1" minValue="0" maxValue="0" count="2">
        <s v="PR"/>
        <n v="0" u="1"/>
      </sharedItems>
    </cacheField>
    <cacheField name="NATUREZA DO SINISTRO" numFmtId="0">
      <sharedItems/>
    </cacheField>
    <cacheField name="PERITO " numFmtId="0">
      <sharedItems/>
    </cacheField>
    <cacheField name=" HONORÁRIO R$  " numFmtId="0">
      <sharedItems containsString="0" containsBlank="1" containsNumber="1" containsInteger="1" minValue="101" maxValue="101"/>
    </cacheField>
    <cacheField name="KM  " numFmtId="0">
      <sharedItems containsString="0" containsBlank="1" containsNumber="1" containsInteger="1" minValue="10" maxValue="10"/>
    </cacheField>
    <cacheField name="KM R$" numFmtId="0">
      <sharedItems containsString="0" containsBlank="1" containsNumber="1" containsInteger="1" minValue="0" maxValue="0"/>
    </cacheField>
    <cacheField name="PEDÁGIO " numFmtId="0">
      <sharedItems containsString="0" containsBlank="1" containsNumber="1" containsInteger="1" minValue="10" maxValue="10"/>
    </cacheField>
    <cacheField name="HOTEL " numFmtId="0">
      <sharedItems containsString="0" containsBlank="1" containsNumber="1" containsInteger="1" minValue="0" maxValue="0"/>
    </cacheField>
    <cacheField name="REFEIÇÃO " numFmtId="0">
      <sharedItems containsString="0" containsBlank="1" containsNumber="1" containsInteger="1" minValue="0" maxValue="0"/>
    </cacheField>
    <cacheField name="PASSAGEM ÁERA" numFmtId="0">
      <sharedItems containsString="0" containsBlank="1" containsNumber="1" containsInteger="1" minValue="0" maxValue="0"/>
    </cacheField>
    <cacheField name="ALUGUEL CARRO " numFmtId="0">
      <sharedItems containsString="0" containsBlank="1" containsNumber="1" containsInteger="1" minValue="0" maxValue="0"/>
    </cacheField>
    <cacheField name="OUTROS " numFmtId="0">
      <sharedItems containsString="0" containsBlank="1" containsNumber="1" containsInteger="1" minValue="0" maxValue="0"/>
    </cacheField>
    <cacheField name="TOTAL  " numFmtId="0">
      <sharedItems containsString="0" containsBlank="1" containsNumber="1" containsInteger="1" minValue="111" maxValue="111"/>
    </cacheField>
    <cacheField name="SEGURADORA" numFmtId="44">
      <sharedItems/>
    </cacheField>
    <cacheField name="STATUS SEGURADORA" numFmtId="44">
      <sharedItems/>
    </cacheField>
    <cacheField name="STATUS PERITO" numFmtId="44">
      <sharedItems/>
    </cacheField>
    <cacheField name="TIPO DO BEM" numFmtId="44">
      <sharedItems/>
    </cacheField>
    <cacheField name="DT LANÇAMENTO " numFmtId="14">
      <sharedItems containsSemiMixedTypes="0" containsNonDate="0" containsDate="1" containsString="0" minDate="2021-02-28T00:00:00" maxDate="2021-03-01T00:00:00"/>
    </cacheField>
    <cacheField name="KM RODADO EMPRESA" numFmtId="0">
      <sharedItems containsString="0" containsBlank="1" containsNumber="1" containsInteger="1" minValue="10" maxValue="10"/>
    </cacheField>
    <cacheField name="KM R$ EMPR" numFmtId="0">
      <sharedItems containsString="0" containsBlank="1" containsNumber="1" containsInteger="1" minValue="0" maxValue="0"/>
    </cacheField>
    <cacheField name="DT AGENDAMENTO" numFmtId="14">
      <sharedItems containsSemiMixedTypes="0" containsNonDate="0" containsDate="1" containsString="0" minDate="2020-01-01T00:00:00" maxDate="2021-03-02T00:00:00" count="6">
        <d v="2021-02-17T00:00:00"/>
        <d v="2021-02-16T00:00:00"/>
        <d v="2021-03-01T00:00:00" u="1"/>
        <d v="2020-01-01T00:00:00" u="1"/>
        <d v="2021-02-23T00:00:00" u="1"/>
        <d v="2021-02-15T00:00:00" u="1"/>
      </sharedItems>
    </cacheField>
    <cacheField name="HONORARIO EMPRESA" numFmtId="0">
      <sharedItems containsString="0" containsBlank="1" containsNumber="1" containsInteger="1" minValue="202" maxValue="202"/>
    </cacheField>
    <cacheField name="TOTAL EMPRESA" numFmtId="0">
      <sharedItems containsString="0" containsBlank="1" containsNumber="1" containsInteger="1" minValue="212" maxValue="212"/>
    </cacheField>
    <cacheField name="KM R$ EMPR2" numFmtId="0">
      <sharedItems containsNonDate="0" containsString="0" containsBlank="1"/>
    </cacheField>
    <cacheField name="PAGTO PERITO" numFmtId="0">
      <sharedItems containsNonDate="0" containsString="0" containsBlank="1"/>
    </cacheField>
    <cacheField name="PAGTO SEGURADORA" numFmtId="0">
      <sharedItems containsNonDate="0" containsString="0" containsBlank="1"/>
    </cacheField>
    <cacheField name="TIPO DO BEN" numFmtId="0">
      <sharedItems containsNonDate="0" containsString="0" containsBlank="1"/>
    </cacheField>
    <cacheField name="DT LANÇAMENTO" numFmtId="1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59.025087037036" createdVersion="6" refreshedVersion="6" minRefreshableVersion="3" recordCount="3" xr:uid="{B62C7716-6BAC-4E92-9E21-C2BC846F8282}">
  <cacheSource type="worksheet">
    <worksheetSource name="Tabela3"/>
  </cacheSource>
  <cacheFields count="33">
    <cacheField name="DT RECEBIMENTO" numFmtId="14">
      <sharedItems containsDate="1" containsMixedTypes="1" minDate="2020-01-01T00:00:00" maxDate="2021-04-04T00:00:00" count="5">
        <s v="19/02/2021"/>
        <s v="17/02/2021"/>
        <d v="2021-04-03T00:00:00"/>
        <d v="2021-01-02T00:00:00" u="1"/>
        <d v="2020-01-01T00:00:00" u="1"/>
      </sharedItems>
    </cacheField>
    <cacheField name="DT VISTORIA" numFmtId="14">
      <sharedItems containsDate="1" containsBlank="1" containsMixedTypes="1" minDate="2020-01-01T00:00:00" maxDate="2021-03-05T00:00:00" count="7">
        <s v="20/02/2021"/>
        <s v="18/02/2021"/>
        <d v="2021-03-04T00:00:00"/>
        <m u="1"/>
        <d v="2021-03-02T00:00:00" u="1"/>
        <d v="2020-01-01T00:00:00" u="1"/>
        <d v="2021-02-02T00:00:00" u="1"/>
      </sharedItems>
    </cacheField>
    <cacheField name="DT ENTREGA " numFmtId="14">
      <sharedItems containsDate="1" containsMixedTypes="1" minDate="2021-03-04T00:00:00" maxDate="2021-03-05T00:00:00"/>
    </cacheField>
    <cacheField name="NF" numFmtId="1">
      <sharedItems containsSemiMixedTypes="0" containsString="0" containsNumber="1" containsInteger="1" minValue="1" maxValue="111"/>
    </cacheField>
    <cacheField name="SINISTRO" numFmtId="1">
      <sharedItems containsSemiMixedTypes="0" containsString="0" containsNumber="1" containsInteger="1" minValue="0" maxValue="158" count="8">
        <n v="4"/>
        <n v="3"/>
        <n v="6"/>
        <n v="0" u="1"/>
        <n v="125" u="1"/>
        <n v="1" u="1"/>
        <n v="158" u="1"/>
        <n v="5" u="1"/>
      </sharedItems>
    </cacheField>
    <cacheField name="APÓLICE" numFmtId="1">
      <sharedItems containsSemiMixedTypes="0" containsString="0" containsNumber="1" containsInteger="1" minValue="1" maxValue="3"/>
    </cacheField>
    <cacheField name="PROPOSTA" numFmtId="2">
      <sharedItems containsSemiMixedTypes="0" containsString="0" containsNumber="1" containsInteger="1" minValue="1" maxValue="1"/>
    </cacheField>
    <cacheField name="SEGURADO" numFmtId="0">
      <sharedItems containsMixedTypes="1" containsNumber="1" containsInteger="1" minValue="0" maxValue="0" count="4">
        <s v="Cleiton"/>
        <s v="Felipe"/>
        <s v="Mario"/>
        <n v="0" u="1"/>
      </sharedItems>
    </cacheField>
    <cacheField name="OBS:" numFmtId="0">
      <sharedItems/>
    </cacheField>
    <cacheField name="MUNICIPIO " numFmtId="0">
      <sharedItems containsMixedTypes="1" containsNumber="1" containsInteger="1" minValue="0" maxValue="0" count="3">
        <s v="Toledo"/>
        <s v="Cascavel"/>
        <n v="0" u="1"/>
      </sharedItems>
    </cacheField>
    <cacheField name="UF" numFmtId="0">
      <sharedItems containsMixedTypes="1" containsNumber="1" containsInteger="1" minValue="0" maxValue="0" count="2">
        <s v="PR"/>
        <n v="0" u="1"/>
      </sharedItems>
    </cacheField>
    <cacheField name="EVENTO" numFmtId="0">
      <sharedItems containsNonDate="0" containsString="0" containsBlank="1"/>
    </cacheField>
    <cacheField name="CULTURA" numFmtId="0">
      <sharedItems/>
    </cacheField>
    <cacheField name="PERITO " numFmtId="0">
      <sharedItems/>
    </cacheField>
    <cacheField name="VISTORIA" numFmtId="0">
      <sharedItems/>
    </cacheField>
    <cacheField name="AREA SEGURADA" numFmtId="2">
      <sharedItems containsSemiMixedTypes="0" containsString="0" containsNumber="1" containsInteger="1" minValue="10" maxValue="12"/>
    </cacheField>
    <cacheField name="AREA VISTORIADA" numFmtId="2">
      <sharedItems/>
    </cacheField>
    <cacheField name="SEGURADORA" numFmtId="49">
      <sharedItems/>
    </cacheField>
    <cacheField name="HONORÁRIO R$ " numFmtId="7">
      <sharedItems containsSemiMixedTypes="0" containsString="0" containsNumber="1" containsInteger="1" minValue="100" maxValue="250"/>
    </cacheField>
    <cacheField name="KM RODADO PERITO" numFmtId="0">
      <sharedItems containsSemiMixedTypes="0" containsString="0" containsNumber="1" containsInteger="1" minValue="10" maxValue="10"/>
    </cacheField>
    <cacheField name="VALOR KM R$" numFmtId="7">
      <sharedItems containsSemiMixedTypes="0" containsString="0" containsNumber="1" containsInteger="1" minValue="12" maxValue="13"/>
    </cacheField>
    <cacheField name="KM RODADO EMPRESA" numFmtId="0">
      <sharedItems containsSemiMixedTypes="0" containsString="0" containsNumber="1" containsInteger="1" minValue="0" maxValue="10"/>
    </cacheField>
    <cacheField name="KM R$ EMPR" numFmtId="7">
      <sharedItems containsSemiMixedTypes="0" containsString="0" containsNumber="1" containsInteger="1" minValue="0" maxValue="13"/>
    </cacheField>
    <cacheField name="HOTEL" numFmtId="7">
      <sharedItems containsSemiMixedTypes="0" containsString="0" containsNumber="1" containsInteger="1" minValue="0" maxValue="10"/>
    </cacheField>
    <cacheField name="REFEIÇÃO" numFmtId="7">
      <sharedItems containsSemiMixedTypes="0" containsString="0" containsNumber="1" containsInteger="1" minValue="0" maxValue="0"/>
    </cacheField>
    <cacheField name="OUTROS " numFmtId="7">
      <sharedItems containsSemiMixedTypes="0" containsString="0" containsNumber="1" containsInteger="1" minValue="0" maxValue="10"/>
    </cacheField>
    <cacheField name="TOTAL " numFmtId="7">
      <sharedItems containsSemiMixedTypes="0" containsString="0" containsNumber="1" containsInteger="1" minValue="116" maxValue="262"/>
    </cacheField>
    <cacheField name="DT LANÇAMENTO " numFmtId="14">
      <sharedItems containsDate="1" containsMixedTypes="1" minDate="2021-04-03T00:00:00" maxDate="2021-04-04T00:00:00"/>
    </cacheField>
    <cacheField name="STATUS SEGURADORA" numFmtId="14">
      <sharedItems/>
    </cacheField>
    <cacheField name="STATUS PERITO" numFmtId="14">
      <sharedItems/>
    </cacheField>
    <cacheField name="DT AGENDAMENTO" numFmtId="0">
      <sharedItems containsDate="1" containsMixedTypes="1" minDate="2020-01-01T00:00:00" maxDate="2021-05-04T00:00:00" count="6">
        <s v="21/02/2021"/>
        <s v="18/02/2021"/>
        <d v="2021-05-03T00:00:00"/>
        <d v="2021-01-03T00:00:00" u="1"/>
        <d v="2020-01-01T00:00:00" u="1"/>
        <d v="2021-03-03T00:00:00" u="1"/>
      </sharedItems>
    </cacheField>
    <cacheField name="HONORARIO EMPRESA" numFmtId="7">
      <sharedItems containsSemiMixedTypes="0" containsString="0" containsNumber="1" containsInteger="1" minValue="200" maxValue="450"/>
    </cacheField>
    <cacheField name="TOTAL EMPRESA" numFmtId="7">
      <sharedItems containsSemiMixedTypes="0" containsString="0" containsNumber="1" containsInteger="1" minValue="229" maxValue="46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60.05379583333" createdVersion="6" refreshedVersion="6" minRefreshableVersion="3" recordCount="6" xr:uid="{1B14A92F-CACB-47FA-8DC0-D836847A0DFC}">
  <cacheSource type="worksheet">
    <worksheetSource name="Tabela8"/>
  </cacheSource>
  <cacheFields count="22">
    <cacheField name="PERITO" numFmtId="0">
      <sharedItems count="4">
        <s v="CARLOS EDUARDO DE LIMA JUNIOR"/>
        <s v="ALLISSON MINATTI RAUPP "/>
        <s v="LUCAS CARLOS NEIS"/>
        <s v="EVERTON CARLOS BALBINOTTI"/>
      </sharedItems>
    </cacheField>
    <cacheField name="SINISTRO" numFmtId="0">
      <sharedItems containsSemiMixedTypes="0" containsString="0" containsNumber="1" containsInteger="1" minValue="2" maxValue="10" count="6">
        <n v="2"/>
        <n v="4"/>
        <n v="10"/>
        <n v="9"/>
        <n v="7"/>
        <n v="8"/>
      </sharedItems>
    </cacheField>
    <cacheField name="APOLICE" numFmtId="0">
      <sharedItems containsString="0" containsBlank="1" containsNumber="1" containsInteger="1" minValue="2" maxValue="121" count="3">
        <m/>
        <n v="121"/>
        <n v="2"/>
      </sharedItems>
    </cacheField>
    <cacheField name="DT VISTORIA" numFmtId="0">
      <sharedItems containsDate="1" containsMixedTypes="1" minDate="2021-03-04T00:00:00" maxDate="2021-04-04T00:00:00" count="5">
        <s v="17/02/2021"/>
        <s v="20/02/2021"/>
        <d v="2021-04-03T00:00:00"/>
        <s v="17/02/2022"/>
        <d v="2021-03-04T00:00:00"/>
      </sharedItems>
    </cacheField>
    <cacheField name="HONORÁRIO R$ " numFmtId="7">
      <sharedItems containsSemiMixedTypes="0" containsString="0" containsNumber="1" minValue="198.666666666667" maxValue="400" count="4">
        <n v="202"/>
        <n v="200"/>
        <n v="198.666666666667"/>
        <n v="400"/>
      </sharedItems>
    </cacheField>
    <cacheField name="VALOR KM R$" numFmtId="7">
      <sharedItems containsSemiMixedTypes="0" containsString="0" containsNumber="1" containsInteger="1" minValue="0" maxValue="20" count="3">
        <n v="0"/>
        <n v="12"/>
        <n v="20"/>
      </sharedItems>
    </cacheField>
    <cacheField name="HOTEL" numFmtId="7">
      <sharedItems containsSemiMixedTypes="0" containsString="0" containsNumber="1" minValue="0" maxValue="10" count="3">
        <n v="0"/>
        <n v="10"/>
        <n v="3.3333333333333401"/>
      </sharedItems>
    </cacheField>
    <cacheField name="REFEIÇÃO" numFmtId="7">
      <sharedItems containsSemiMixedTypes="0" containsString="0" containsNumber="1" minValue="0" maxValue="50" count="4">
        <n v="0"/>
        <n v="10"/>
        <n v="13.3333333333333"/>
        <n v="50"/>
      </sharedItems>
    </cacheField>
    <cacheField name="PEDÁGIO " numFmtId="7">
      <sharedItems containsString="0" containsBlank="1" containsNumber="1" containsInteger="1" minValue="10" maxValue="10" count="2">
        <n v="10"/>
        <m/>
      </sharedItems>
    </cacheField>
    <cacheField name="PASSAGEM ÁERA" numFmtId="7">
      <sharedItems containsString="0" containsBlank="1" containsNumber="1" containsInteger="1" minValue="0" maxValue="0" count="2">
        <n v="0"/>
        <m/>
      </sharedItems>
    </cacheField>
    <cacheField name="ALUGUEL CARRO" numFmtId="7">
      <sharedItems containsString="0" containsBlank="1" containsNumber="1" containsInteger="1" minValue="0" maxValue="0" count="2">
        <n v="0"/>
        <m/>
      </sharedItems>
    </cacheField>
    <cacheField name="OUTROS " numFmtId="7">
      <sharedItems containsSemiMixedTypes="0" containsString="0" containsNumber="1" minValue="0" maxValue="10" count="3">
        <n v="0"/>
        <n v="10"/>
        <n v="3.3333333333333401"/>
      </sharedItems>
    </cacheField>
    <cacheField name="TOTAL " numFmtId="7">
      <sharedItems containsSemiMixedTypes="0" containsString="0" containsNumber="1" containsInteger="1" minValue="212" maxValue="474" count="5">
        <n v="212"/>
        <n v="244"/>
        <n v="234"/>
        <n v="252"/>
        <n v="474"/>
      </sharedItems>
    </cacheField>
    <cacheField name="DT LANCAMENTO" numFmtId="14">
      <sharedItems containsSemiMixedTypes="0" containsNonDate="0" containsDate="1" containsString="0" minDate="2021-02-28T00:00:00" maxDate="2021-03-05T00:00:00" count="2">
        <d v="2021-02-28T00:00:00"/>
        <d v="2021-03-04T00:00:00"/>
      </sharedItems>
      <fieldGroup par="21" base="13">
        <rangePr groupBy="days" startDate="2021-02-28T00:00:00" endDate="2021-03-05T00:00:00"/>
        <groupItems count="368">
          <s v="&lt;28/02/2021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5/03/2021"/>
        </groupItems>
      </fieldGroup>
    </cacheField>
    <cacheField name="TIPO" numFmtId="0">
      <sharedItems count="2">
        <s v="Penhor"/>
        <s v="Pericia"/>
      </sharedItems>
    </cacheField>
    <cacheField name="STATUS" numFmtId="0">
      <sharedItems count="2">
        <s v="Aberto"/>
        <s v="Parcial"/>
      </sharedItems>
    </cacheField>
    <cacheField name="DT RECEBIMENTO" numFmtId="14">
      <sharedItems containsSemiMixedTypes="0" containsNonDate="0" containsDate="1" containsString="0" minDate="2021-03-03T00:00:00" maxDate="2021-03-06T00:00:00" count="3">
        <d v="2021-03-03T00:00:00"/>
        <d v="2021-03-05T00:00:00"/>
        <d v="2021-03-04T00:00:00"/>
      </sharedItems>
    </cacheField>
    <cacheField name="SEGURADORA" numFmtId="0">
      <sharedItems count="3">
        <s v="ALLIANZ"/>
        <s v="SWISS RE"/>
        <s v="SANCOR"/>
      </sharedItems>
    </cacheField>
    <cacheField name="NF" numFmtId="0">
      <sharedItems containsString="0" containsBlank="1" containsNumber="1" containsInteger="1" minValue="3" maxValue="112" count="3">
        <m/>
        <n v="3"/>
        <n v="112"/>
      </sharedItems>
    </cacheField>
    <cacheField name="SALDO" numFmtId="7">
      <sharedItems containsSemiMixedTypes="0" containsString="0" containsNumber="1" containsInteger="1" minValue="0" maxValue="474" count="8">
        <n v="212"/>
        <n v="244"/>
        <n v="134"/>
        <n v="252"/>
        <n v="474"/>
        <n v="84"/>
        <n v="0" u="1"/>
        <n v="234" u="1"/>
      </sharedItems>
    </cacheField>
    <cacheField name="Obs" numFmtId="0">
      <sharedItems containsBlank="1"/>
    </cacheField>
    <cacheField name="Meses" numFmtId="0" databaseField="0">
      <fieldGroup base="13">
        <rangePr groupBy="months" startDate="2021-02-28T00:00:00" endDate="2021-03-05T00:00:00"/>
        <groupItems count="14">
          <s v="&lt;28/02/2021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5/03/2021"/>
        </groupItems>
      </fieldGroup>
    </cacheField>
  </cacheFields>
  <extLst>
    <ext xmlns:x14="http://schemas.microsoft.com/office/spreadsheetml/2009/9/main" uri="{725AE2AE-9491-48be-B2B4-4EB974FC3084}">
      <x14:pivotCacheDefinition pivotCacheId="2036691246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60.018907060185" createdVersion="6" refreshedVersion="6" minRefreshableVersion="3" recordCount="6" xr:uid="{DF16F052-B3E1-466F-BB5A-3079F71561C7}">
  <cacheSource type="worksheet">
    <worksheetSource name="Tabela8"/>
  </cacheSource>
  <cacheFields count="21">
    <cacheField name="PERITO" numFmtId="0">
      <sharedItems containsMixedTypes="1" containsNumber="1" containsInteger="1" minValue="1" maxValue="1" count="5">
        <s v="CARLOS EDUARDO DE LIMA JUNIOR"/>
        <s v="ALLISSON MINATTI RAUPP "/>
        <s v="LUCAS CARLOS NEIS"/>
        <s v="EVERTON CARLOS BALBINOTTI"/>
        <n v="1" u="1"/>
      </sharedItems>
    </cacheField>
    <cacheField name="SINISTRO" numFmtId="0">
      <sharedItems containsSemiMixedTypes="0" containsString="0" containsNumber="1" containsInteger="1" minValue="1" maxValue="12587" count="15">
        <n v="2"/>
        <n v="4"/>
        <n v="10"/>
        <n v="9"/>
        <n v="7"/>
        <n v="8"/>
        <n v="987" u="1"/>
        <n v="5" u="1"/>
        <n v="785" u="1"/>
        <n v="1" u="1"/>
        <n v="3" u="1"/>
        <n v="12258" u="1"/>
        <n v="158" u="1"/>
        <n v="45" u="1"/>
        <n v="12587" u="1"/>
      </sharedItems>
    </cacheField>
    <cacheField name="APOLICE" numFmtId="0">
      <sharedItems containsString="0" containsBlank="1" containsNumber="1" containsInteger="1" minValue="2" maxValue="121" count="4">
        <m/>
        <n v="121"/>
        <n v="2"/>
        <n v="3" u="1"/>
      </sharedItems>
    </cacheField>
    <cacheField name="DT VISTORIA" numFmtId="0">
      <sharedItems containsDate="1" containsMixedTypes="1" minDate="2020-01-01T00:00:00" maxDate="2021-07-03T00:00:00" count="10">
        <s v="17/02/2021"/>
        <s v="20/02/2021"/>
        <d v="2021-04-03T00:00:00"/>
        <s v="17/02/2022"/>
        <d v="2021-03-04T00:00:00"/>
        <d v="2021-03-02T00:00:00" u="1"/>
        <d v="2021-02-07T00:00:00" u="1"/>
        <d v="2021-07-02T00:00:00" u="1"/>
        <d v="2020-01-01T00:00:00" u="1"/>
        <d v="2021-05-02T00:00:00" u="1"/>
      </sharedItems>
    </cacheField>
    <cacheField name=" HONORÁRIO R$ " numFmtId="7">
      <sharedItems containsSemiMixedTypes="0" containsString="0" containsNumber="1" minValue="2" maxValue="602.1" count="13">
        <n v="202"/>
        <n v="200"/>
        <n v="198.666666666667"/>
        <n v="400"/>
        <n v="5" u="1"/>
        <n v="320" u="1"/>
        <n v="602.1" u="1"/>
        <n v="2" u="1"/>
        <n v="300" u="1"/>
        <n v="322" u="1"/>
        <n v="150" u="1"/>
        <n v="10" u="1"/>
        <n v="350" u="1"/>
      </sharedItems>
    </cacheField>
    <cacheField name="VALOR KM R$" numFmtId="7">
      <sharedItems containsSemiMixedTypes="0" containsString="0" containsNumber="1" containsInteger="1" minValue="0" maxValue="195" count="12">
        <n v="0"/>
        <n v="12"/>
        <n v="20"/>
        <n v="13" u="1"/>
        <n v="15" u="1"/>
        <n v="6" u="1"/>
        <n v="50" u="1"/>
        <n v="1" u="1"/>
        <n v="155" u="1"/>
        <n v="158" u="1"/>
        <n v="195" u="1"/>
        <n v="11" u="1"/>
      </sharedItems>
    </cacheField>
    <cacheField name="HOTEL" numFmtId="7">
      <sharedItems containsSemiMixedTypes="0" containsString="0" containsNumber="1" minValue="0" maxValue="50" count="8">
        <n v="0"/>
        <n v="10"/>
        <n v="3.3333333333333401"/>
        <n v="50" u="1"/>
        <n v="7" u="1"/>
        <n v="1" u="1"/>
        <n v="11" u="1"/>
        <n v="32" u="1"/>
      </sharedItems>
    </cacheField>
    <cacheField name="REFEIÇÃO" numFmtId="7">
      <sharedItems containsSemiMixedTypes="0" containsString="0" containsNumber="1" minValue="0" maxValue="223" count="10">
        <n v="0"/>
        <n v="10"/>
        <n v="13.3333333333333"/>
        <n v="50"/>
        <n v="14" u="1"/>
        <n v="223" u="1"/>
        <n v="35" u="1"/>
        <n v="1" u="1"/>
        <n v="8" u="1"/>
        <n v="25" u="1"/>
      </sharedItems>
    </cacheField>
    <cacheField name=" PEDÁGIO " numFmtId="7">
      <sharedItems containsString="0" containsBlank="1" containsNumber="1" containsInteger="1" minValue="0" maxValue="223" count="7">
        <n v="10"/>
        <m/>
        <n v="0" u="1"/>
        <n v="223" u="1"/>
        <n v="1" u="1"/>
        <n v="9" u="1"/>
        <n v="30" u="1"/>
      </sharedItems>
    </cacheField>
    <cacheField name="PASSAGEM ÁERA" numFmtId="7">
      <sharedItems containsString="0" containsBlank="1" containsNumber="1" containsInteger="1" minValue="0" maxValue="11" count="5">
        <n v="0"/>
        <m/>
        <n v="1" u="1"/>
        <n v="10" u="1"/>
        <n v="11" u="1"/>
      </sharedItems>
    </cacheField>
    <cacheField name="ALUGUEL CARRO" numFmtId="7">
      <sharedItems containsString="0" containsBlank="1" containsNumber="1" containsInteger="1" minValue="0" maxValue="10" count="4">
        <n v="0"/>
        <m/>
        <n v="1" u="1"/>
        <n v="10" u="1"/>
      </sharedItems>
    </cacheField>
    <cacheField name="OUTROS " numFmtId="7">
      <sharedItems containsSemiMixedTypes="0" containsString="0" containsNumber="1" minValue="0" maxValue="50" count="7">
        <n v="0"/>
        <n v="10"/>
        <n v="3.3333333333333401"/>
        <n v="50" u="1"/>
        <n v="1" u="1"/>
        <n v="11" u="1"/>
        <n v="12" u="1"/>
      </sharedItems>
    </cacheField>
    <cacheField name=" TOTAL " numFmtId="7">
      <sharedItems containsSemiMixedTypes="0" containsString="0" containsNumber="1" minValue="13" maxValue="613" count="18">
        <n v="212"/>
        <n v="244"/>
        <n v="234"/>
        <n v="252"/>
        <n v="474"/>
        <n v="613" u="1"/>
        <n v="13" u="1"/>
        <n v="430" u="1"/>
        <n v="362" u="1"/>
        <n v="462.1" u="1"/>
        <n v="16" u="1"/>
        <n v="223" u="1"/>
        <n v="390" u="1"/>
        <n v="309" u="1"/>
        <n v="492.5" u="1"/>
        <n v="350" u="1"/>
        <n v="308" u="1"/>
        <n v="164.3" u="1"/>
      </sharedItems>
    </cacheField>
    <cacheField name="DT LANCAMENTO" numFmtId="14">
      <sharedItems containsSemiMixedTypes="0" containsNonDate="0" containsDate="1" containsString="0" minDate="2021-02-28T00:00:00" maxDate="2021-03-05T00:00:00" count="2">
        <d v="2021-02-28T00:00:00"/>
        <d v="2021-03-04T00:00:00"/>
      </sharedItems>
    </cacheField>
    <cacheField name="TIPO" numFmtId="0">
      <sharedItems containsMixedTypes="1" containsNumber="1" containsInteger="1" minValue="15" maxValue="15" count="3">
        <s v="Penhor"/>
        <s v="Pericia"/>
        <n v="15" u="1"/>
      </sharedItems>
    </cacheField>
    <cacheField name="STATUS" numFmtId="0">
      <sharedItems containsMixedTypes="1" containsNumber="1" containsInteger="1" minValue="16" maxValue="16" count="2">
        <s v="Aberto"/>
        <n v="16" u="1"/>
      </sharedItems>
    </cacheField>
    <cacheField name="DT RECEBIMENTO" numFmtId="14">
      <sharedItems containsSemiMixedTypes="0" containsNonDate="0" containsDate="1" containsString="0" minDate="2021-02-07T00:00:00" maxDate="2021-03-05T00:00:00" count="6">
        <d v="2021-03-03T00:00:00"/>
        <d v="2021-03-04T00:00:00"/>
        <d v="2021-02-21T00:00:00" u="1"/>
        <d v="2021-02-07T00:00:00" u="1"/>
        <d v="2021-02-22T00:00:00" u="1"/>
        <d v="2021-02-20T00:00:00" u="1"/>
      </sharedItems>
    </cacheField>
    <cacheField name="SEGURADORA" numFmtId="0">
      <sharedItems containsMixedTypes="1" containsNumber="1" containsInteger="1" minValue="18" maxValue="18" count="4">
        <s v="ALLIANZ"/>
        <s v="SWISS RE"/>
        <s v="SANCOR"/>
        <n v="18" u="1"/>
      </sharedItems>
    </cacheField>
    <cacheField name="NF" numFmtId="0">
      <sharedItems containsString="0" containsBlank="1" containsNumber="1" containsInteger="1" minValue="3" maxValue="112" count="3">
        <m/>
        <n v="3"/>
        <n v="112"/>
      </sharedItems>
    </cacheField>
    <cacheField name="SALDO" numFmtId="0">
      <sharedItems containsString="0" containsBlank="1" containsNumber="1" containsInteger="1" minValue="0" maxValue="474" count="4">
        <m/>
        <n v="234"/>
        <n v="474"/>
        <n v="0"/>
      </sharedItems>
    </cacheField>
    <cacheField name="Obs" numFmtId="0">
      <sharedItems containsMixedTypes="1" containsNumber="1" containsInteger="1" minValue="70000" maxValue="70000"/>
    </cacheField>
  </cacheFields>
  <extLst>
    <ext xmlns:x14="http://schemas.microsoft.com/office/spreadsheetml/2009/9/main" uri="{725AE2AE-9491-48be-B2B4-4EB974FC3084}">
      <x14:pivotCacheDefinition pivotCacheId="27736576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1"/>
    <x v="0"/>
    <m/>
    <m/>
    <x v="0"/>
    <x v="0"/>
    <x v="0"/>
    <x v="0"/>
    <s v="Incendio"/>
    <s v="CARLOS EDUARDO DE LIMA JUNIOR"/>
    <n v="101"/>
    <n v="10"/>
    <n v="0"/>
    <n v="10"/>
    <n v="0"/>
    <n v="0"/>
    <n v="0"/>
    <n v="0"/>
    <n v="0"/>
    <n v="111"/>
    <s v="ALLIANZ"/>
    <s v="Aberto"/>
    <s v="Aberto"/>
    <s v="Equipamentos"/>
    <d v="2021-02-28T00:00:00"/>
    <n v="10"/>
    <n v="0"/>
    <x v="0"/>
    <n v="202"/>
    <n v="212"/>
    <m/>
    <m/>
    <m/>
    <m/>
    <m/>
  </r>
  <r>
    <x v="1"/>
    <m/>
    <x v="1"/>
    <m/>
    <m/>
    <x v="1"/>
    <x v="1"/>
    <x v="0"/>
    <x v="0"/>
    <s v="Roubo"/>
    <s v="BEATRIZ ALVES MIRA"/>
    <m/>
    <m/>
    <m/>
    <m/>
    <m/>
    <m/>
    <m/>
    <m/>
    <m/>
    <m/>
    <s v="SWISS RE"/>
    <s v="Aberto"/>
    <s v="Aberto"/>
    <s v="Equipamentos"/>
    <d v="2021-02-28T00:00:00"/>
    <m/>
    <m/>
    <x v="1"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x v="0"/>
    <s v="20/02/2021"/>
    <n v="1"/>
    <x v="0"/>
    <n v="2"/>
    <n v="1"/>
    <x v="0"/>
    <s v="teste"/>
    <x v="0"/>
    <x v="0"/>
    <m/>
    <s v="Soja "/>
    <s v="ALLISSON MINATTI RAUPP "/>
    <s v="Preliminar"/>
    <n v="12"/>
    <s v="12,00"/>
    <s v="SWISS RE"/>
    <n v="100"/>
    <n v="10"/>
    <n v="12"/>
    <n v="10"/>
    <n v="12"/>
    <n v="10"/>
    <n v="0"/>
    <n v="10"/>
    <n v="132"/>
    <s v="28/02/2021"/>
    <s v="Aberto"/>
    <s v="Aberto"/>
    <x v="0"/>
    <n v="200"/>
    <n v="244"/>
  </r>
  <r>
    <x v="1"/>
    <x v="1"/>
    <s v="18/02/2021"/>
    <n v="2"/>
    <x v="1"/>
    <n v="3"/>
    <n v="1"/>
    <x v="1"/>
    <s v="teste"/>
    <x v="1"/>
    <x v="0"/>
    <m/>
    <s v="Soja "/>
    <s v="CARLOS EDUARDO DE LIMA JUNIOR"/>
    <s v="Preliminar/Final"/>
    <n v="10"/>
    <s v="10,00"/>
    <s v="NEWE"/>
    <n v="103"/>
    <n v="10"/>
    <n v="13"/>
    <n v="10"/>
    <n v="13"/>
    <n v="0"/>
    <n v="0"/>
    <n v="0"/>
    <n v="116"/>
    <s v="28/02/2021"/>
    <s v="Aberto"/>
    <s v="Aberto"/>
    <x v="1"/>
    <n v="203"/>
    <n v="229"/>
  </r>
  <r>
    <x v="2"/>
    <x v="2"/>
    <d v="2021-03-04T00:00:00"/>
    <n v="111"/>
    <x v="2"/>
    <n v="1"/>
    <n v="1"/>
    <x v="2"/>
    <s v="teste"/>
    <x v="1"/>
    <x v="0"/>
    <m/>
    <s v="Soja "/>
    <s v="EMERSON DE LIMA "/>
    <s v="Preliminar"/>
    <n v="10"/>
    <s v="10,00"/>
    <s v="SANCOR"/>
    <n v="250"/>
    <n v="10"/>
    <n v="12"/>
    <n v="0"/>
    <n v="0"/>
    <n v="0"/>
    <n v="0"/>
    <n v="0"/>
    <n v="262"/>
    <d v="2021-04-03T00:00:00"/>
    <s v="Aberto"/>
    <s v="Aberto"/>
    <x v="2"/>
    <n v="450"/>
    <n v="46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m/>
  </r>
  <r>
    <x v="1"/>
    <x v="1"/>
    <x v="0"/>
    <x v="1"/>
    <x v="1"/>
    <x v="1"/>
    <x v="1"/>
    <x v="0"/>
    <x v="1"/>
    <x v="1"/>
    <x v="1"/>
    <x v="1"/>
    <x v="1"/>
    <x v="0"/>
    <x v="1"/>
    <x v="0"/>
    <x v="0"/>
    <x v="1"/>
    <x v="0"/>
    <x v="1"/>
    <m/>
  </r>
  <r>
    <x v="2"/>
    <x v="2"/>
    <x v="1"/>
    <x v="2"/>
    <x v="1"/>
    <x v="1"/>
    <x v="0"/>
    <x v="1"/>
    <x v="1"/>
    <x v="1"/>
    <x v="1"/>
    <x v="0"/>
    <x v="2"/>
    <x v="1"/>
    <x v="1"/>
    <x v="1"/>
    <x v="1"/>
    <x v="2"/>
    <x v="1"/>
    <x v="2"/>
    <s v="ui"/>
  </r>
  <r>
    <x v="0"/>
    <x v="3"/>
    <x v="0"/>
    <x v="3"/>
    <x v="2"/>
    <x v="2"/>
    <x v="2"/>
    <x v="2"/>
    <x v="0"/>
    <x v="0"/>
    <x v="0"/>
    <x v="2"/>
    <x v="3"/>
    <x v="0"/>
    <x v="0"/>
    <x v="0"/>
    <x v="0"/>
    <x v="0"/>
    <x v="0"/>
    <x v="3"/>
    <m/>
  </r>
  <r>
    <x v="3"/>
    <x v="4"/>
    <x v="2"/>
    <x v="2"/>
    <x v="3"/>
    <x v="1"/>
    <x v="0"/>
    <x v="3"/>
    <x v="1"/>
    <x v="1"/>
    <x v="1"/>
    <x v="0"/>
    <x v="4"/>
    <x v="1"/>
    <x v="1"/>
    <x v="0"/>
    <x v="2"/>
    <x v="2"/>
    <x v="2"/>
    <x v="4"/>
    <m/>
  </r>
  <r>
    <x v="2"/>
    <x v="5"/>
    <x v="1"/>
    <x v="4"/>
    <x v="1"/>
    <x v="1"/>
    <x v="0"/>
    <x v="1"/>
    <x v="1"/>
    <x v="1"/>
    <x v="1"/>
    <x v="0"/>
    <x v="2"/>
    <x v="1"/>
    <x v="1"/>
    <x v="1"/>
    <x v="1"/>
    <x v="2"/>
    <x v="1"/>
    <x v="5"/>
    <s v="teste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s v="e"/>
  </r>
  <r>
    <x v="1"/>
    <x v="1"/>
    <x v="0"/>
    <x v="1"/>
    <x v="1"/>
    <x v="1"/>
    <x v="1"/>
    <x v="0"/>
    <x v="1"/>
    <x v="1"/>
    <x v="1"/>
    <x v="1"/>
    <x v="1"/>
    <x v="0"/>
    <x v="1"/>
    <x v="0"/>
    <x v="0"/>
    <x v="1"/>
    <x v="0"/>
    <x v="0"/>
    <s v="teste"/>
  </r>
  <r>
    <x v="2"/>
    <x v="2"/>
    <x v="1"/>
    <x v="2"/>
    <x v="1"/>
    <x v="1"/>
    <x v="0"/>
    <x v="1"/>
    <x v="1"/>
    <x v="1"/>
    <x v="1"/>
    <x v="0"/>
    <x v="2"/>
    <x v="1"/>
    <x v="1"/>
    <x v="0"/>
    <x v="0"/>
    <x v="2"/>
    <x v="1"/>
    <x v="1"/>
    <n v="70000"/>
  </r>
  <r>
    <x v="0"/>
    <x v="3"/>
    <x v="0"/>
    <x v="3"/>
    <x v="2"/>
    <x v="2"/>
    <x v="2"/>
    <x v="2"/>
    <x v="0"/>
    <x v="0"/>
    <x v="0"/>
    <x v="2"/>
    <x v="3"/>
    <x v="0"/>
    <x v="0"/>
    <x v="0"/>
    <x v="0"/>
    <x v="0"/>
    <x v="0"/>
    <x v="0"/>
    <s v="e"/>
  </r>
  <r>
    <x v="3"/>
    <x v="4"/>
    <x v="2"/>
    <x v="2"/>
    <x v="3"/>
    <x v="1"/>
    <x v="0"/>
    <x v="3"/>
    <x v="1"/>
    <x v="1"/>
    <x v="1"/>
    <x v="0"/>
    <x v="4"/>
    <x v="1"/>
    <x v="1"/>
    <x v="0"/>
    <x v="1"/>
    <x v="2"/>
    <x v="2"/>
    <x v="2"/>
    <s v="TESTE DENOVO DE SALDO"/>
  </r>
  <r>
    <x v="2"/>
    <x v="5"/>
    <x v="1"/>
    <x v="4"/>
    <x v="1"/>
    <x v="1"/>
    <x v="0"/>
    <x v="1"/>
    <x v="1"/>
    <x v="1"/>
    <x v="1"/>
    <x v="0"/>
    <x v="2"/>
    <x v="1"/>
    <x v="1"/>
    <x v="0"/>
    <x v="1"/>
    <x v="2"/>
    <x v="1"/>
    <x v="3"/>
    <s v="gggg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6E5F74-2DF7-4C83-9021-F01F157A7A7A}" name="Tabela dinâmica5" cacheId="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I6:O6" firstHeaderRow="1" firstDataRow="1" firstDataCol="7"/>
  <pivotFields count="33">
    <pivotField axis="axisRow" compact="0" outline="0" showAll="0" sortType="ascending" defaultSubtotal="0">
      <items count="5">
        <item x="1"/>
        <item x="0"/>
        <item m="1" x="4"/>
        <item m="1" x="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m="1" x="6"/>
        <item h="1" m="1" x="4"/>
        <item h="1" m="1" x="5"/>
        <item h="1" x="0"/>
        <item h="1" m="1" x="3"/>
        <item h="1"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" outline="0" showAll="0" defaultSubtotal="0">
      <items count="8">
        <item m="1" x="5"/>
        <item x="1"/>
        <item m="1" x="4"/>
        <item m="1" x="7"/>
        <item m="1" x="6"/>
        <item m="1" x="3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3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sortType="ascending" defaultSubtotal="0">
      <items count="6">
        <item x="1"/>
        <item x="0"/>
        <item m="1" x="4"/>
        <item m="1" x="3"/>
        <item m="1" x="5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0"/>
    <field x="4"/>
    <field x="7"/>
    <field x="9"/>
    <field x="10"/>
    <field x="1"/>
    <field x="30"/>
  </rowFields>
  <colItems count="1">
    <i/>
  </colItem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764526-8BFE-458F-A440-8D12A802F906}" name="Tabela dinâmica4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A6:G8" firstHeaderRow="1" firstDataRow="1" firstDataCol="7"/>
  <pivotFields count="36">
    <pivotField axis="axisRow" compact="0" numFmtId="14" outline="0" showAll="0" sortType="ascending" defaultSubtotal="0">
      <items count="7">
        <item m="1" x="6"/>
        <item m="1" x="4"/>
        <item m="1" x="5"/>
        <item x="1"/>
        <item x="0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2"/>
        <item m="1" x="3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" outline="0" showAll="0" defaultSubtotal="0">
      <items count="8">
        <item m="1" x="5"/>
        <item m="1" x="4"/>
        <item m="1" x="3"/>
        <item x="0"/>
        <item m="1" x="7"/>
        <item m="1" x="6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sortType="descending" defaultSubtotal="0">
      <items count="6">
        <item m="1" x="2"/>
        <item m="1" x="4"/>
        <item x="0"/>
        <item x="1"/>
        <item m="1" x="5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0"/>
    <field x="5"/>
    <field x="6"/>
    <field x="7"/>
    <field x="8"/>
    <field x="2"/>
    <field x="28"/>
  </rowFields>
  <rowItems count="2">
    <i>
      <x v="3"/>
      <x v="6"/>
      <x v="2"/>
      <x v="1"/>
      <x v="1"/>
      <x v="3"/>
      <x v="3"/>
    </i>
    <i>
      <x v="4"/>
      <x v="3"/>
      <x v="1"/>
      <x v="1"/>
      <x v="1"/>
      <x v="2"/>
      <x v="2"/>
    </i>
  </rowItems>
  <colItems count="1">
    <i/>
  </colItem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29AD9A-2811-4F49-9261-249B66C5B634}" name="Tabela dinâmica2" cacheId="413" applyNumberFormats="0" applyBorderFormats="0" applyFontFormats="0" applyPatternFormats="0" applyAlignmentFormats="0" applyWidthHeightFormats="1" dataCaption="Valores" updatedVersion="6" minRefreshableVersion="5" useAutoFormatting="1" rowGrandTotals="0" colGrandTotals="0" itemPrintTitles="1" createdVersion="6" indent="0" compact="0" compactData="0" multipleFieldFilters="0">
  <location ref="A3:T9" firstHeaderRow="1" firstDataRow="1" firstDataCol="20"/>
  <pivotFields count="22">
    <pivotField axis="axisRow" compact="0" outline="0" showAll="0" defaultSubtotal="0">
      <items count="4">
        <item x="1"/>
        <item x="0"/>
        <item x="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x="1"/>
        <item x="4"/>
        <item x="5"/>
        <item x="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3"/>
        <item x="1"/>
        <item x="4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4">
        <item x="2"/>
        <item x="1"/>
        <item x="0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5">
        <item x="0"/>
        <item x="2"/>
        <item x="1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m="1" x="6"/>
        <item m="1" x="7"/>
        <item x="4"/>
        <item x="0"/>
        <item x="1"/>
        <item x="3"/>
        <item x="2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0">
    <field x="0"/>
    <field x="18"/>
    <field x="3"/>
    <field x="1"/>
    <field x="2"/>
    <field x="4"/>
    <field x="5"/>
    <field x="6"/>
    <field x="7"/>
    <field x="8"/>
    <field x="9"/>
    <field x="10"/>
    <field x="11"/>
    <field x="12"/>
    <field x="19"/>
    <field x="13"/>
    <field x="14"/>
    <field x="15"/>
    <field x="16"/>
    <field x="17"/>
  </rowFields>
  <rowItems count="6">
    <i>
      <x/>
      <x v="2"/>
      <x v="2"/>
      <x v="1"/>
      <x v="2"/>
      <x v="1"/>
      <x v="1"/>
      <x v="2"/>
      <x/>
      <x v="1"/>
      <x v="1"/>
      <x v="1"/>
      <x v="2"/>
      <x v="2"/>
      <x v="4"/>
      <x v="59"/>
      <x v="1"/>
      <x/>
      <x/>
      <x v="2"/>
    </i>
    <i>
      <x v="1"/>
      <x v="2"/>
      <x/>
      <x/>
      <x v="2"/>
      <x v="2"/>
      <x/>
      <x/>
      <x/>
      <x/>
      <x/>
      <x/>
      <x/>
      <x/>
      <x v="3"/>
      <x v="59"/>
      <x/>
      <x/>
      <x/>
      <x/>
    </i>
    <i r="2">
      <x v="1"/>
      <x v="4"/>
      <x v="2"/>
      <x/>
      <x v="2"/>
      <x v="1"/>
      <x v="2"/>
      <x/>
      <x/>
      <x/>
      <x v="1"/>
      <x v="3"/>
      <x v="5"/>
      <x v="59"/>
      <x/>
      <x/>
      <x/>
      <x/>
    </i>
    <i>
      <x v="2"/>
      <x v="1"/>
      <x v="4"/>
      <x v="2"/>
      <x/>
      <x v="3"/>
      <x v="1"/>
      <x/>
      <x v="3"/>
      <x v="1"/>
      <x v="1"/>
      <x v="1"/>
      <x/>
      <x v="4"/>
      <x v="2"/>
      <x v="64"/>
      <x v="1"/>
      <x/>
      <x v="1"/>
      <x v="1"/>
    </i>
    <i>
      <x v="3"/>
      <x/>
      <x v="3"/>
      <x v="3"/>
      <x v="1"/>
      <x v="1"/>
      <x v="1"/>
      <x/>
      <x v="1"/>
      <x v="1"/>
      <x v="1"/>
      <x v="1"/>
      <x/>
      <x v="1"/>
      <x v="7"/>
      <x v="64"/>
      <x v="1"/>
      <x v="1"/>
      <x v="2"/>
      <x v="1"/>
    </i>
    <i r="2">
      <x v="4"/>
      <x v="5"/>
      <x v="1"/>
      <x v="1"/>
      <x v="1"/>
      <x/>
      <x v="1"/>
      <x v="1"/>
      <x v="1"/>
      <x v="1"/>
      <x/>
      <x v="1"/>
      <x v="6"/>
      <x v="64"/>
      <x v="1"/>
      <x v="1"/>
      <x v="2"/>
      <x v="1"/>
    </i>
  </rowItems>
  <colItems count="1">
    <i/>
  </colItem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" xr10:uid="{84CEEEAC-D7E9-4931-B670-3BA8D823017A}" sourceName="PERITO">
  <data>
    <tabular pivotCacheId="277365764">
      <items count="5">
        <i x="4" s="1"/>
        <i x="1" s="1"/>
        <i x="0" s="1"/>
        <i x="3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" xr10:uid="{641CC106-4B73-4A2D-9D20-E3C4993F616E}" sourceName="TIPO">
  <data>
    <tabular pivotCacheId="277365764">
      <items count="3">
        <i x="2" s="1"/>
        <i x="0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" xr10:uid="{58C86F98-0335-416D-867A-1AD152087CB4}" sourceName="STATUS">
  <data>
    <tabular pivotCacheId="277365764">
      <items count="2">
        <i x="1" s="1"/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" xr10:uid="{B6725917-E0BA-4A9D-A3A7-B9AA836ABB8B}" sourceName="SEGURADORA">
  <data>
    <tabular pivotCacheId="277365764">
      <items count="4">
        <i x="3" s="1"/>
        <i x="0" s="1"/>
        <i x="2" s="1"/>
        <i x="1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1" xr10:uid="{036B3458-6227-4CED-B094-B47F54A05C75}" sourceName="PERITO">
  <pivotTables>
    <pivotTable tabId="23" name="Tabela dinâmica2"/>
  </pivotTables>
  <data>
    <tabular pivotCacheId="2036691246">
      <items count="4">
        <i x="1" s="1"/>
        <i x="0" s="1"/>
        <i x="3" s="1"/>
        <i x="2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1" xr10:uid="{B98BE949-90A4-424B-8A5D-CE6B75A7AFC5}" sourceName="STATUS">
  <pivotTables>
    <pivotTable tabId="23" name="Tabela dinâmica2"/>
  </pivotTables>
  <data>
    <tabular pivotCacheId="2036691246">
      <items count="2">
        <i x="0" s="1"/>
        <i x="1" s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1" xr10:uid="{CD3CEA97-65EA-49C9-8119-00CBFF79769B}" sourceName="SEGURADORA">
  <pivotTables>
    <pivotTable tabId="23" name="Tabela dinâmica2"/>
  </pivotTables>
  <data>
    <tabular pivotCacheId="2036691246">
      <items count="3">
        <i x="0" s="1"/>
        <i x="2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" xr10:uid="{A892F82A-8AEE-4D42-A704-45CCB0360C8E}" cache="SegmentaçãodeDados_PERITO1" caption="PERITO" style="SlicerStyleLight6" rowHeight="241300"/>
  <slicer name="STATUS" xr10:uid="{4481E6F6-F294-4F22-9CFA-018921299C03}" cache="SegmentaçãodeDados_STATUS1" caption="STATUS" style="SlicerStyleLight6" rowHeight="241300"/>
  <slicer name="SEGURADORA" xr10:uid="{90BB6E2F-3511-4209-A3F1-A0D50B09CAC5}" cache="SegmentaçãodeDados_SEGURADORA1" caption="SEGURADORA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 1" xr10:uid="{1F256F19-4127-491D-9CD2-860736A2E673}" cache="SegmentaçãodeDados_PERITO" caption="PERITO" style="SlicerStyleLight6" rowHeight="241300"/>
  <slicer name="TIPO 1" xr10:uid="{9D3AF4F8-5F0C-4707-A2B7-2FA4D918BEE9}" cache="SegmentaçãodeDados_TIPO" caption="TIPO" style="SlicerStyleLight6" rowHeight="241300"/>
  <slicer name="STATUS 1" xr10:uid="{01CFA610-A685-482C-A732-346E4D01196A}" cache="SegmentaçãodeDados_STATUS" caption="STATUS" style="SlicerStyleLight6" rowHeight="241300"/>
  <slicer name="SEGURADORA 1" xr10:uid="{F777D9EB-E92A-48E3-85D1-BE9CAC01560A}" cache="SegmentaçãodeDados_SEGURADORA" caption="SEGURADORA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A7E3572-CDCE-436B-8140-15A1DAB15045}" name="Tabela4" displayName="Tabela4" ref="A1:AJ3" totalsRowShown="0">
  <tableColumns count="36">
    <tableColumn id="1" xr3:uid="{4CEAFE11-4BD7-40FD-A919-BB52A3784B3A}" name="DT RECEBIMENTO" dataDxfId="78"/>
    <tableColumn id="2" xr3:uid="{8D491FBA-8D6E-4D68-9169-C6C807F705B7}" name="NF" dataDxfId="77"/>
    <tableColumn id="3" xr3:uid="{894BE3F1-C62B-4DDF-B040-E03CA1F61E2E}" name="DT VISTORIA " dataDxfId="76"/>
    <tableColumn id="4" xr3:uid="{3A5AA30B-7316-4054-B0A5-D3050BE0A17C}" name="DT REVISTORIA" dataDxfId="75"/>
    <tableColumn id="5" xr3:uid="{5762346C-BDE6-44E8-817C-91E54D27767E}" name="APÓLICE " dataDxfId="74"/>
    <tableColumn id="24" xr3:uid="{A430FF16-32B9-4825-820C-70015B1C820E}" name="SINISTRO" dataDxfId="73"/>
    <tableColumn id="6" xr3:uid="{1A60546F-FB43-46BD-B179-C75C28C7C994}" name="SEGURADO" dataDxfId="72"/>
    <tableColumn id="7" xr3:uid="{06FB21F9-D567-4FEB-B23F-94CC67035500}" name="MUNICIPIO " dataDxfId="71"/>
    <tableColumn id="8" xr3:uid="{F52919A1-EC7D-458F-BDD0-083E74A6B0AB}" name="UF" dataDxfId="70"/>
    <tableColumn id="9" xr3:uid="{EAE99911-BF1E-458E-9B33-B85C6940677D}" name="NATUREZA DO SINISTRO"/>
    <tableColumn id="10" xr3:uid="{720F5E41-5E43-4BE6-9C8F-BE1DF20942E9}" name="PERITO "/>
    <tableColumn id="11" xr3:uid="{3A77C621-1E1E-4B9A-BEDE-3E88B249740D}" name=" HONORÁRIO R$  " dataDxfId="69" dataCellStyle="Moeda"/>
    <tableColumn id="12" xr3:uid="{139A6F62-71D3-483A-A7EF-CF22C069C905}" name="KM  "/>
    <tableColumn id="26" xr3:uid="{AEF5FE02-1FBD-4AF4-8633-C7E0C9E0B4A0}" name="KM R$"/>
    <tableColumn id="13" xr3:uid="{0FA3E433-9437-4ADE-B92A-336606AA0BFA}" name="PEDÁGIO " dataDxfId="68" dataCellStyle="Moeda"/>
    <tableColumn id="14" xr3:uid="{78FF7EDB-582E-42FD-9799-DD4D37C1C0BE}" name="HOTEL " dataDxfId="67" dataCellStyle="Moeda"/>
    <tableColumn id="15" xr3:uid="{B33CE678-346F-49DF-BDA4-44C123CB1EF8}" name="REFEIÇÃO " dataDxfId="66" dataCellStyle="Moeda"/>
    <tableColumn id="16" xr3:uid="{7E3D7E2A-6E12-4FB3-9C91-02FE40C27F4D}" name="PASSAGEM ÁERA" dataDxfId="65" dataCellStyle="Moeda"/>
    <tableColumn id="17" xr3:uid="{AFEBA063-285D-4E1F-BD7C-E0BB8AA9BFC3}" name="ALUGUEL CARRO " dataDxfId="64" dataCellStyle="Moeda"/>
    <tableColumn id="18" xr3:uid="{80376310-22C8-4669-BBCC-9445A8931644}" name="OUTROS " dataDxfId="63" dataCellStyle="Moeda"/>
    <tableColumn id="25" xr3:uid="{4338F209-0C34-4043-B3EF-73F4C9A9DD65}" name="TOTAL  " dataDxfId="62" dataCellStyle="Moeda"/>
    <tableColumn id="29" xr3:uid="{E0CE4C5D-9BCC-47F6-A2E2-F49599CE0090}" name="SEGURADORA" dataDxfId="61" dataCellStyle="Moeda"/>
    <tableColumn id="33" xr3:uid="{F8322728-BB10-40FA-8AB8-DAF0301387D8}" name="STATUS SEGURADORA" dataDxfId="60" dataCellStyle="Moeda"/>
    <tableColumn id="32" xr3:uid="{3C189627-5587-4747-A956-BF68E01F2C6F}" name="STATUS PERITO" dataDxfId="59" dataCellStyle="Moeda"/>
    <tableColumn id="35" xr3:uid="{6770BC5D-821D-4022-9E02-51C0CF6AF282}" name="TIPO DO BEM" dataDxfId="58" dataCellStyle="Moeda"/>
    <tableColumn id="34" xr3:uid="{1C80A2A2-BE52-4BB6-8774-903C65676CB5}" name="DT LANÇAMENTO " dataDxfId="57" dataCellStyle="Moeda"/>
    <tableColumn id="28" xr3:uid="{E07BC76D-0CFE-49DF-8CA9-85BBECE75005}" name="KM RODADO EMPRESA" dataDxfId="56" dataCellStyle="Moeda"/>
    <tableColumn id="30" xr3:uid="{30F79F53-5CD6-4EB9-94EF-A05E8F2343B6}" name="KM R$ EMPR" dataDxfId="55" dataCellStyle="Moeda"/>
    <tableColumn id="31" xr3:uid="{2380923C-36D4-4A7F-A0F6-18D6CC83AF87}" name="DT AGENDAMENTO" dataDxfId="54" dataCellStyle="Moeda"/>
    <tableColumn id="36" xr3:uid="{440922AD-B26B-45F7-845A-22AE6BCB39F0}" name="HONORARIO EMPRESA" dataDxfId="53" dataCellStyle="Moeda"/>
    <tableColumn id="19" xr3:uid="{6606E2F6-6FBE-42AD-B08C-73D5D56070BC}" name="TOTAL EMPRESA" dataDxfId="52" dataCellStyle="Moeda"/>
    <tableColumn id="20" xr3:uid="{11BA40E0-957A-4794-828F-30F9B20B83E4}" name="KM R$ EMPR2"/>
    <tableColumn id="27" xr3:uid="{B45D1A5B-3BB4-407A-A498-4AA20B08769B}" name="PAGTO PERITO"/>
    <tableColumn id="21" xr3:uid="{4273EAC1-1CAD-48A7-A120-34A13D31A6F5}" name="PAGTO SEGURADORA"/>
    <tableColumn id="22" xr3:uid="{174913DF-BEA1-407D-A724-986E2234D72A}" name="TIPO DO BEN"/>
    <tableColumn id="23" xr3:uid="{FD9D0B3E-2831-4683-9A45-A840DB5EA861}" name="DT LANÇAMENTO" dataDxfId="5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F952D81-90B1-46A3-A17D-5617AC725009}" name="Tabela3" displayName="Tabela3" ref="A1:AG6" totalsRowShown="0">
  <tableColumns count="33">
    <tableColumn id="1" xr3:uid="{01FEB0E5-52BE-4347-BF57-CD16D27B937B}" name="DT RECEBIMENTO" dataDxfId="50"/>
    <tableColumn id="2" xr3:uid="{42D256E5-7905-43C7-B146-BAE1FF4F13EA}" name="DT VISTORIA" dataDxfId="49"/>
    <tableColumn id="3" xr3:uid="{BCCE59B5-8188-4C7C-95C2-715E226A28AA}" name="DT ENTREGA " dataDxfId="48"/>
    <tableColumn id="4" xr3:uid="{DD2FFDF0-7DCD-40B2-BE5B-713ED98D0855}" name="NF" dataDxfId="47"/>
    <tableColumn id="5" xr3:uid="{71C6BD3C-6436-486E-BD85-7935791CB966}" name="SINISTRO" dataDxfId="46"/>
    <tableColumn id="6" xr3:uid="{D289DEB5-E97A-4D43-B4F7-902CC070659C}" name="APÓLICE" dataDxfId="45"/>
    <tableColumn id="7" xr3:uid="{06DE9BC2-A40D-4D00-BB45-8E4F7789BE84}" name="PROPOSTA" dataDxfId="44"/>
    <tableColumn id="8" xr3:uid="{938EE5F6-C4CC-47A2-9716-BA14675A1CC0}" name="SEGURADO"/>
    <tableColumn id="9" xr3:uid="{D988F2E0-5D14-403F-819E-52EE981BC7FA}" name="OBS:"/>
    <tableColumn id="10" xr3:uid="{659F1C80-4C76-438C-8F31-6EEC136904EB}" name="MUNICIPIO "/>
    <tableColumn id="11" xr3:uid="{9196166A-5194-4CF9-9613-FDC45C0D52EA}" name="UF" dataDxfId="43"/>
    <tableColumn id="12" xr3:uid="{21394EE4-1694-4250-9E61-5F41B640ECB1}" name="EVENTO"/>
    <tableColumn id="13" xr3:uid="{DD18FA28-11C2-476F-9046-202678EF194C}" name="CULTURA"/>
    <tableColumn id="14" xr3:uid="{7248674C-5344-4C0C-B985-34FFF3D5C2F3}" name="PERITO "/>
    <tableColumn id="15" xr3:uid="{4ED99905-9E0E-4E43-9CAE-6696B1D88A06}" name="VISTORIA"/>
    <tableColumn id="16" xr3:uid="{E2ACA318-59D9-43A6-9327-66E1FCA97A60}" name="AREA SEGURADA" dataDxfId="42"/>
    <tableColumn id="17" xr3:uid="{EE10B1C6-6DEE-4AD7-9D78-EC246389C2FB}" name="AREA VISTORIADA" dataDxfId="41"/>
    <tableColumn id="18" xr3:uid="{5ABE2B95-8B65-4067-B07B-961E86DF955C}" name="SEGURADORA" dataDxfId="40"/>
    <tableColumn id="19" xr3:uid="{D6D440C8-50F6-4EC7-BDE9-2DF3AA5771DF}" name="HONORÁRIO R$ " dataDxfId="39" dataCellStyle="Moeda"/>
    <tableColumn id="20" xr3:uid="{4AD21308-937E-4761-BA5D-93DFD5876314}" name="KM RODADO PERITO"/>
    <tableColumn id="21" xr3:uid="{81790E5F-9A10-4C4F-A097-2651C71B4AB6}" name="VALOR KM R$" dataDxfId="38" dataCellStyle="Moeda"/>
    <tableColumn id="22" xr3:uid="{D7762BF3-0B74-4974-8BBE-59556FD6DA92}" name="KM RODADO EMPRESA"/>
    <tableColumn id="23" xr3:uid="{57C0BB09-FF91-456C-B393-28ABAD52D8D9}" name="KM R$ EMPR" dataDxfId="37" dataCellStyle="Moeda"/>
    <tableColumn id="24" xr3:uid="{9C301590-1AAD-4F79-B66A-A6728FFFD7FC}" name="HOTEL" dataDxfId="36" dataCellStyle="Moeda"/>
    <tableColumn id="25" xr3:uid="{0B99CFC5-E242-496D-9958-804F0D1B521E}" name="REFEIÇÃO" dataDxfId="35" dataCellStyle="Moeda"/>
    <tableColumn id="26" xr3:uid="{2F92F6FA-422E-4D4B-BB4E-BA386F7AF1C0}" name="OUTROS " dataDxfId="34" dataCellStyle="Moeda"/>
    <tableColumn id="27" xr3:uid="{84553A7A-42D0-4471-AD1E-1A3BF4FEB1AD}" name="TOTAL " dataDxfId="33" dataCellStyle="Moeda"/>
    <tableColumn id="28" xr3:uid="{ED67970F-F0E5-46C6-98D9-1A7C91354E1F}" name="DT LANÇAMENTO " dataDxfId="32"/>
    <tableColumn id="30" xr3:uid="{E0E6AE81-E915-44EC-9FD2-4A51D8BDBF5F}" name="STATUS SEGURADORA" dataDxfId="31"/>
    <tableColumn id="31" xr3:uid="{59C15FF4-94BE-4937-A73B-D88AD2E6EEAE}" name="STATUS PERITO" dataDxfId="30"/>
    <tableColumn id="29" xr3:uid="{9ADDC96C-C7C9-4998-B013-EAD28F652506}" name="DT AGENDAMENTO" dataDxfId="29"/>
    <tableColumn id="32" xr3:uid="{568C3FE9-4939-413F-A6FC-4C8FB185C602}" name="HONORARIO EMPRESA"/>
    <tableColumn id="33" xr3:uid="{4CC820E2-94A2-41FC-A3CB-5A037A8EC99E}" name="TOTAL EMPRESA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3497B67-5325-4216-AB11-09D959A60883}" name="Tabela7" displayName="Tabela7" ref="A1:R5" totalsRowShown="0">
  <tableColumns count="18">
    <tableColumn id="13" xr3:uid="{F74C8623-8076-44D0-B9B8-08ED10D13BD4}" name="PERITO"/>
    <tableColumn id="14" xr3:uid="{FEB420A7-F895-482C-A222-A0AB2C2F00DB}" name="SINISTRO"/>
    <tableColumn id="15" xr3:uid="{5B10F8F1-2CED-452D-9555-056C8E5648E5}" name="APOLICE"/>
    <tableColumn id="16" xr3:uid="{25E0D8B7-B42B-432D-8E1F-DCA9F68E3434}" name="DT VISTORIA" dataDxfId="28"/>
    <tableColumn id="1" xr3:uid="{77AE40CE-3180-4CA9-AF9A-E8E268E57070}" name="HONORÁRIO R$ " dataDxfId="27" dataCellStyle="Moeda"/>
    <tableColumn id="2" xr3:uid="{6F9E0BA6-9BFB-48EC-81A9-18A0C396E8C9}" name="VALOR KM R$" dataDxfId="26" dataCellStyle="Moeda"/>
    <tableColumn id="3" xr3:uid="{EFD808ED-DC52-4A8B-8292-EEE34A3916AF}" name="HOTEL" dataDxfId="25" dataCellStyle="Moeda"/>
    <tableColumn id="4" xr3:uid="{BFA1101A-73FE-46DC-B3F1-F20D674333D9}" name="REFEIÇÃO" dataDxfId="24" dataCellStyle="Moeda"/>
    <tableColumn id="5" xr3:uid="{2AB446A3-0EB9-4068-9FF5-68786833A420}" name="PEDÁGIO " dataDxfId="23" dataCellStyle="Moeda"/>
    <tableColumn id="6" xr3:uid="{7C7FA53D-199C-4600-B839-1C253EB0843B}" name="PASSAGEM ÁERA" dataDxfId="22" dataCellStyle="Moeda"/>
    <tableColumn id="7" xr3:uid="{5487AAEC-0686-4909-95E7-E3F065BAE407}" name="ALUGUEL CARRO " dataDxfId="21" dataCellStyle="Moeda"/>
    <tableColumn id="8" xr3:uid="{6E97A9B3-7F8F-4AD1-A51A-8D0518668E1F}" name="OUTROS " dataDxfId="20" dataCellStyle="Moeda"/>
    <tableColumn id="9" xr3:uid="{345BE897-50CE-4CAF-9542-ACF3BDCA9A38}" name=" TOTAL " dataDxfId="19" dataCellStyle="Moeda"/>
    <tableColumn id="10" xr3:uid="{C5ADE4FF-938E-41F2-9268-65D68FC97B10}" name="DT LANCAMENTO" dataDxfId="18"/>
    <tableColumn id="12" xr3:uid="{A3ED7FB8-6AA1-4C65-A1EA-9870CFFBC01E}" name="TIPO"/>
    <tableColumn id="17" xr3:uid="{47B97EE1-5E2D-4A1E-8AE4-CC486971C9D6}" name="STATUS"/>
    <tableColumn id="18" xr3:uid="{E2170128-B19B-4A43-A55A-1E6B0E593B16}" name="DT PAGAMENTO"/>
    <tableColumn id="11" xr3:uid="{19D6B03F-F2D1-4BC3-9A94-5BF15175FF87}" name="SEGURADORA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9F42A54-91A1-4A35-ACA3-8D3E40ABBDEB}" name="Tabela8" displayName="Tabela8" ref="A1:U7" totalsRowShown="0">
  <tableColumns count="21">
    <tableColumn id="1" xr3:uid="{58109129-6CDA-476E-905E-F84811823968}" name="PERITO"/>
    <tableColumn id="2" xr3:uid="{9759B7CE-23BC-42AD-8596-E44D7418F34A}" name="SINISTRO"/>
    <tableColumn id="3" xr3:uid="{CC0BBBA2-7695-4EE8-8E4C-D6E72DFE3D5D}" name="APOLICE"/>
    <tableColumn id="4" xr3:uid="{ABCB0DBF-49E3-45D8-BBDE-F2CDD05F192E}" name="DT VISTORIA" dataDxfId="17"/>
    <tableColumn id="5" xr3:uid="{FC594FDD-E27C-412B-BCBC-53D7FF856FF3}" name="HONORÁRIO R$ " dataDxfId="16" dataCellStyle="Moeda"/>
    <tableColumn id="6" xr3:uid="{CE20EE4A-66EF-49C9-8277-0F91D4EAE8A0}" name="VALOR KM R$" dataDxfId="15" dataCellStyle="Moeda"/>
    <tableColumn id="7" xr3:uid="{5DDDE08F-D634-4BC9-9259-00A68BBAA7A0}" name="HOTEL" dataDxfId="14" dataCellStyle="Moeda"/>
    <tableColumn id="8" xr3:uid="{3303D9EF-E342-45CF-8457-EB7BFC724009}" name="REFEIÇÃO" dataDxfId="13" dataCellStyle="Moeda"/>
    <tableColumn id="9" xr3:uid="{C7166C86-DE25-480F-BF56-18061E37717C}" name="PEDÁGIO " dataDxfId="12" dataCellStyle="Moeda"/>
    <tableColumn id="10" xr3:uid="{79AD7756-F982-40B3-A840-1D887EDE4D08}" name="PASSAGEM ÁERA" dataDxfId="11" dataCellStyle="Moeda"/>
    <tableColumn id="11" xr3:uid="{763DF7A8-12FD-414C-A335-DD672F61971C}" name="ALUGUEL CARRO" dataDxfId="10" dataCellStyle="Moeda"/>
    <tableColumn id="12" xr3:uid="{D92A590C-1934-4CF3-9A88-FDA9781B8EC9}" name="OUTROS " dataDxfId="9" dataCellStyle="Moeda"/>
    <tableColumn id="13" xr3:uid="{3ED0E5F1-62E9-4527-B42C-2B2CF57B6AD4}" name="TOTAL " dataDxfId="8" dataCellStyle="Moeda"/>
    <tableColumn id="14" xr3:uid="{2EB34EF3-4C41-4099-9921-DB8E920647FC}" name="DT LANCAMENTO" dataDxfId="7"/>
    <tableColumn id="15" xr3:uid="{29BF7AB3-FE61-4EC2-B318-038A9A4DD5DC}" name="TIPO"/>
    <tableColumn id="18" xr3:uid="{90FC8B6A-9504-4386-8326-C2CE852CD25D}" name="STATUS"/>
    <tableColumn id="17" xr3:uid="{D0907E2A-DC54-48A0-99F7-D6729CE060FA}" name="DT RECEBIMENTO"/>
    <tableColumn id="19" xr3:uid="{5F059973-0658-4A13-A91F-BD75CBD570B9}" name="SEGURADORA"/>
    <tableColumn id="20" xr3:uid="{2A5EC017-6D4C-4EDB-8B6C-8D0514115EEC}" name="NF"/>
    <tableColumn id="21" xr3:uid="{F14695BA-6BDA-4F14-ABF7-16A32EFA55CA}" name="SALDO" dataDxfId="0" dataCellStyle="Moeda"/>
    <tableColumn id="16" xr3:uid="{05E773C7-4F15-422B-8F54-364EAE748468}" name="Obs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9243E8-A3D1-44AF-85B6-7570184EAF1E}" name="BDSeguradora" displayName="BDSeguradora" ref="A1:F16" totalsRowShown="0" dataCellStyle="Moeda">
  <autoFilter ref="A1:F16" xr:uid="{E0128D07-B018-4091-9CB3-BD39DDA972C1}"/>
  <tableColumns count="6">
    <tableColumn id="1" xr3:uid="{93640D5B-39C9-4EE3-9C9C-88CB4813A0DE}" name="CNPJ"/>
    <tableColumn id="2" xr3:uid="{ECABB9F3-3A2D-466F-A1D1-8345C75306F8}" name="NOME" dataDxfId="6"/>
    <tableColumn id="3" xr3:uid="{0354E08F-99E4-4602-A856-87F2606D5542}" name="ENDEREÇO"/>
    <tableColumn id="4" xr3:uid="{791EB34D-33AD-4D81-9993-B97ED301BA3B}" name="KM R$" dataDxfId="5" dataCellStyle="Moeda"/>
    <tableColumn id="5" xr3:uid="{605420F8-6CFD-43FC-98CD-F68974D03019}" name="REFEIÇÃO R$" dataDxfId="4" dataCellStyle="Moeda"/>
    <tableColumn id="6" xr3:uid="{E406B1A8-FE43-4F46-B098-C8F386E557B1}" name="HOSPEDAGEM R$" dataDxfId="3" dataCellStyle="Moeda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2556C6-A0FA-48E5-9C90-96C59F3FDC95}" name="Tabela5" displayName="Tabela5" ref="A1:E25" totalsRowShown="0" headerRowDxfId="2">
  <autoFilter ref="A1:E25" xr:uid="{2EFAC822-781E-49A7-9E37-807F9A11773B}"/>
  <tableColumns count="5">
    <tableColumn id="1" xr3:uid="{37F6DF33-7318-454A-B809-8D15C227E196}" name="NOME" dataDxfId="1"/>
    <tableColumn id="2" xr3:uid="{D019ED57-F13F-4B96-B244-BBEEA7A70905}" name="ENDERECO"/>
    <tableColumn id="3" xr3:uid="{A88BF2FA-6D05-4120-979B-24E1D242EDD5}" name="CELULAR"/>
    <tableColumn id="4" xr3:uid="{3187D2F1-FEE8-43C0-9E95-CDD58A5B4254}" name="CREA"/>
    <tableColumn id="5" xr3:uid="{CC4468E8-5BEA-4669-A8FB-8A8C19EFB919}" name="CPF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T_LANCAMENTO" xr10:uid="{BF1DF7F2-D274-476B-816B-C59D9D4A1177}" sourceName="DT LANCAMENTO">
  <pivotTables>
    <pivotTable tabId="23" name="Tabela dinâmica2"/>
  </pivotTables>
  <state minimalRefreshVersion="6" lastRefreshVersion="6" pivotCacheId="2036691246" filterType="unknown">
    <bounds startDate="2021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T LANCAMENTO" xr10:uid="{83402B63-8C7B-4FA1-A84E-9CBD5B9FC3AD}" cache="NativeTimeline_DT_LANCAMENTO" caption="DT LANCAMENTO" level="2" selectionLevel="2" scrollPosition="2021-05-19T00:00:00" style="TimeSlicerStyleLight6"/>
</timeline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microsoft.com/office/2007/relationships/slicer" Target="../slicers/slicer1.x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8A944-3733-499C-AE71-B8AE2761D1CD}">
  <sheetPr codeName="Planilha2"/>
  <dimension ref="A1:U1"/>
  <sheetViews>
    <sheetView showGridLines="0" showRowColHeaders="0" tabSelected="1" workbookViewId="0">
      <selection activeCell="R3" sqref="R3"/>
    </sheetView>
  </sheetViews>
  <sheetFormatPr defaultColWidth="0" defaultRowHeight="15" x14ac:dyDescent="0.25"/>
  <cols>
    <col min="1" max="21" width="9.140625" customWidth="1"/>
    <col min="22" max="16384" width="9.140625" hidden="1"/>
  </cols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864A9-89E5-4EA0-A527-8EF93C3A10E0}">
  <sheetPr codeName="Planilha22">
    <pageSetUpPr fitToPage="1"/>
  </sheetPr>
  <dimension ref="A2:R8"/>
  <sheetViews>
    <sheetView showGridLines="0" zoomScaleNormal="100" workbookViewId="0">
      <selection activeCell="J7" sqref="J7"/>
    </sheetView>
  </sheetViews>
  <sheetFormatPr defaultRowHeight="15" x14ac:dyDescent="0.25"/>
  <cols>
    <col min="1" max="1" width="18.28515625" bestFit="1" customWidth="1"/>
    <col min="2" max="2" width="17.42578125" bestFit="1" customWidth="1"/>
    <col min="3" max="3" width="14.42578125" bestFit="1" customWidth="1"/>
    <col min="4" max="4" width="13.85546875" bestFit="1" customWidth="1"/>
    <col min="5" max="5" width="5.7109375" bestFit="1" customWidth="1"/>
    <col min="6" max="6" width="14.7109375" bestFit="1" customWidth="1"/>
    <col min="7" max="7" width="20.7109375" bestFit="1" customWidth="1"/>
    <col min="8" max="8" width="6.140625" customWidth="1"/>
    <col min="9" max="9" width="22.140625" bestFit="1" customWidth="1"/>
    <col min="10" max="10" width="17.42578125" bestFit="1" customWidth="1"/>
    <col min="11" max="11" width="13.28515625" bestFit="1" customWidth="1"/>
    <col min="12" max="12" width="13.85546875" bestFit="1" customWidth="1"/>
    <col min="13" max="13" width="5.7109375" bestFit="1" customWidth="1"/>
    <col min="14" max="14" width="14.28515625" bestFit="1" customWidth="1"/>
    <col min="15" max="15" width="20.7109375" bestFit="1" customWidth="1"/>
  </cols>
  <sheetData>
    <row r="2" spans="1:18" ht="21.75" thickBot="1" x14ac:dyDescent="0.4">
      <c r="A2" s="60" t="s">
        <v>138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17"/>
      <c r="P2" s="17"/>
      <c r="Q2" s="17"/>
      <c r="R2" s="17"/>
    </row>
    <row r="4" spans="1:18" ht="21" x14ac:dyDescent="0.35">
      <c r="A4" s="61" t="s">
        <v>115</v>
      </c>
      <c r="B4" s="61"/>
      <c r="C4" s="61"/>
      <c r="D4" s="61"/>
      <c r="E4" s="61"/>
      <c r="F4" s="61"/>
      <c r="G4" s="61"/>
      <c r="I4" s="61" t="s">
        <v>139</v>
      </c>
      <c r="J4" s="61"/>
      <c r="K4" s="61"/>
      <c r="L4" s="61"/>
      <c r="M4" s="61"/>
      <c r="N4" s="61"/>
      <c r="O4" s="61"/>
    </row>
    <row r="6" spans="1:18" x14ac:dyDescent="0.25">
      <c r="A6" s="31" t="s">
        <v>87</v>
      </c>
      <c r="B6" s="31" t="s">
        <v>53</v>
      </c>
      <c r="C6" s="31" t="s">
        <v>47</v>
      </c>
      <c r="D6" s="31" t="s">
        <v>48</v>
      </c>
      <c r="E6" s="31" t="s">
        <v>49</v>
      </c>
      <c r="F6" s="31" t="s">
        <v>45</v>
      </c>
      <c r="G6" s="31" t="s">
        <v>140</v>
      </c>
      <c r="I6" s="31" t="s">
        <v>87</v>
      </c>
      <c r="J6" s="31" t="s">
        <v>53</v>
      </c>
      <c r="K6" s="31" t="s">
        <v>47</v>
      </c>
      <c r="L6" s="31" t="s">
        <v>48</v>
      </c>
      <c r="M6" s="31" t="s">
        <v>49</v>
      </c>
      <c r="N6" s="31" t="s">
        <v>90</v>
      </c>
      <c r="O6" s="31" t="s">
        <v>140</v>
      </c>
    </row>
    <row r="7" spans="1:18" x14ac:dyDescent="0.25">
      <c r="A7" s="1">
        <v>44242</v>
      </c>
      <c r="B7" s="5">
        <v>1</v>
      </c>
      <c r="C7" s="44" t="s">
        <v>304</v>
      </c>
      <c r="D7" s="44" t="s">
        <v>29</v>
      </c>
      <c r="E7" s="44" t="s">
        <v>16</v>
      </c>
      <c r="F7" s="44" t="s">
        <v>121</v>
      </c>
      <c r="G7" s="1">
        <v>44243</v>
      </c>
    </row>
    <row r="8" spans="1:18" x14ac:dyDescent="0.25">
      <c r="A8" s="1">
        <v>44243</v>
      </c>
      <c r="B8" s="5">
        <v>2</v>
      </c>
      <c r="C8" s="44" t="s">
        <v>305</v>
      </c>
      <c r="D8" s="44" t="s">
        <v>29</v>
      </c>
      <c r="E8" s="44" t="s">
        <v>16</v>
      </c>
      <c r="F8" s="44" t="s">
        <v>308</v>
      </c>
      <c r="G8" s="1">
        <v>44244</v>
      </c>
    </row>
  </sheetData>
  <mergeCells count="3">
    <mergeCell ref="A2:N2"/>
    <mergeCell ref="A4:G4"/>
    <mergeCell ref="I4:O4"/>
  </mergeCells>
  <pageMargins left="0.511811024" right="0.511811024" top="0.78740157499999996" bottom="0.78740157499999996" header="0.31496062000000002" footer="0.31496062000000002"/>
  <pageSetup paperSize="9" scale="62" orientation="landscape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ED952-212E-45E5-B8B6-F8787E2F7EEF}">
  <sheetPr codeName="Planilha5"/>
  <dimension ref="A1:AL3"/>
  <sheetViews>
    <sheetView workbookViewId="0">
      <selection activeCell="A4" sqref="A4"/>
    </sheetView>
  </sheetViews>
  <sheetFormatPr defaultColWidth="0" defaultRowHeight="15" x14ac:dyDescent="0.25"/>
  <cols>
    <col min="1" max="1" width="21.140625" style="1" bestFit="1" customWidth="1"/>
    <col min="2" max="2" width="8" bestFit="1" customWidth="1"/>
    <col min="3" max="4" width="22.140625" style="1" customWidth="1"/>
    <col min="5" max="5" width="13.42578125" bestFit="1" customWidth="1"/>
    <col min="6" max="6" width="13.7109375" style="5" bestFit="1" customWidth="1"/>
    <col min="7" max="7" width="22.28515625" customWidth="1"/>
    <col min="8" max="8" width="16.140625" bestFit="1" customWidth="1"/>
    <col min="9" max="9" width="8.140625" bestFit="1" customWidth="1"/>
    <col min="10" max="10" width="27.28515625" bestFit="1" customWidth="1"/>
    <col min="11" max="11" width="12.28515625" bestFit="1" customWidth="1"/>
    <col min="12" max="12" width="22.7109375" style="10" bestFit="1" customWidth="1"/>
    <col min="13" max="13" width="9.85546875" bestFit="1" customWidth="1"/>
    <col min="14" max="14" width="12.5703125" bestFit="1" customWidth="1"/>
    <col min="15" max="15" width="16" style="10" bestFit="1" customWidth="1"/>
    <col min="16" max="16" width="13.42578125" style="10" bestFit="1" customWidth="1"/>
    <col min="17" max="17" width="16.42578125" style="10" bestFit="1" customWidth="1"/>
    <col min="18" max="18" width="22.42578125" style="10" bestFit="1" customWidth="1"/>
    <col min="19" max="19" width="23" style="10" bestFit="1" customWidth="1"/>
    <col min="20" max="20" width="15.28515625" style="10" bestFit="1" customWidth="1"/>
    <col min="21" max="22" width="15.28515625" style="10" customWidth="1"/>
    <col min="23" max="23" width="22" style="10" customWidth="1"/>
    <col min="24" max="29" width="15.28515625" style="10" customWidth="1"/>
    <col min="30" max="30" width="22.42578125" style="10" customWidth="1"/>
    <col min="31" max="31" width="21.5703125" style="10" bestFit="1" customWidth="1"/>
    <col min="32" max="32" width="22.140625" hidden="1" customWidth="1"/>
    <col min="33" max="33" width="14.140625" hidden="1" customWidth="1"/>
    <col min="34" max="34" width="20.42578125" hidden="1" customWidth="1"/>
    <col min="35" max="35" width="13.85546875" hidden="1" customWidth="1"/>
    <col min="36" max="36" width="16.5703125" style="8" hidden="1" customWidth="1"/>
    <col min="37" max="38" width="16.5703125" hidden="1" customWidth="1"/>
    <col min="39" max="16384" width="9.140625" hidden="1"/>
  </cols>
  <sheetData>
    <row r="1" spans="1:36" s="3" customFormat="1" ht="30" customHeight="1" x14ac:dyDescent="0.25">
      <c r="A1" t="s">
        <v>87</v>
      </c>
      <c r="B1" t="s">
        <v>44</v>
      </c>
      <c r="C1" t="s">
        <v>45</v>
      </c>
      <c r="D1" t="s">
        <v>92</v>
      </c>
      <c r="E1" t="s">
        <v>46</v>
      </c>
      <c r="F1" t="s">
        <v>53</v>
      </c>
      <c r="G1" t="s">
        <v>47</v>
      </c>
      <c r="H1" t="s">
        <v>48</v>
      </c>
      <c r="I1" t="s">
        <v>49</v>
      </c>
      <c r="J1" t="s">
        <v>50</v>
      </c>
      <c r="K1" t="s">
        <v>51</v>
      </c>
      <c r="L1" t="s">
        <v>132</v>
      </c>
      <c r="M1" t="s">
        <v>133</v>
      </c>
      <c r="N1" t="s">
        <v>83</v>
      </c>
      <c r="O1" t="s">
        <v>124</v>
      </c>
      <c r="P1" t="s">
        <v>134</v>
      </c>
      <c r="Q1" t="s">
        <v>135</v>
      </c>
      <c r="R1" t="s">
        <v>102</v>
      </c>
      <c r="S1" t="s">
        <v>122</v>
      </c>
      <c r="T1" t="s">
        <v>69</v>
      </c>
      <c r="U1" t="s">
        <v>137</v>
      </c>
      <c r="V1" t="s">
        <v>88</v>
      </c>
      <c r="W1" t="s">
        <v>109</v>
      </c>
      <c r="X1" t="s">
        <v>110</v>
      </c>
      <c r="Y1" t="s">
        <v>131</v>
      </c>
      <c r="Z1" t="s">
        <v>100</v>
      </c>
      <c r="AA1" t="s">
        <v>65</v>
      </c>
      <c r="AB1" t="s">
        <v>66</v>
      </c>
      <c r="AC1" s="44" t="s">
        <v>140</v>
      </c>
      <c r="AD1" t="s">
        <v>283</v>
      </c>
      <c r="AE1" s="44" t="s">
        <v>284</v>
      </c>
      <c r="AF1" t="s">
        <v>130</v>
      </c>
      <c r="AG1" t="s">
        <v>107</v>
      </c>
      <c r="AH1" t="s">
        <v>43</v>
      </c>
      <c r="AI1" t="s">
        <v>89</v>
      </c>
      <c r="AJ1" t="s">
        <v>101</v>
      </c>
    </row>
    <row r="2" spans="1:36" x14ac:dyDescent="0.25">
      <c r="A2" s="1">
        <v>44243</v>
      </c>
      <c r="B2">
        <v>1</v>
      </c>
      <c r="C2" s="1" t="s">
        <v>308</v>
      </c>
      <c r="F2" s="5">
        <v>2</v>
      </c>
      <c r="G2" t="s">
        <v>305</v>
      </c>
      <c r="H2" t="s">
        <v>29</v>
      </c>
      <c r="I2" t="s">
        <v>16</v>
      </c>
      <c r="J2" t="s">
        <v>303</v>
      </c>
      <c r="K2" t="s">
        <v>144</v>
      </c>
      <c r="L2" s="21">
        <v>101</v>
      </c>
      <c r="M2">
        <v>10</v>
      </c>
      <c r="N2" s="45">
        <v>0</v>
      </c>
      <c r="O2" s="21">
        <v>10</v>
      </c>
      <c r="P2" s="21">
        <v>0</v>
      </c>
      <c r="Q2" s="21">
        <v>0</v>
      </c>
      <c r="R2" s="21">
        <v>0</v>
      </c>
      <c r="S2" s="21">
        <v>0</v>
      </c>
      <c r="T2" s="21">
        <v>0</v>
      </c>
      <c r="U2" s="21">
        <v>111</v>
      </c>
      <c r="V2" s="10" t="s">
        <v>291</v>
      </c>
      <c r="W2" s="10" t="s">
        <v>104</v>
      </c>
      <c r="X2" s="10" t="s">
        <v>104</v>
      </c>
      <c r="Y2" s="10" t="s">
        <v>73</v>
      </c>
      <c r="Z2" s="18">
        <v>44255</v>
      </c>
      <c r="AA2" s="21">
        <v>10</v>
      </c>
      <c r="AB2" s="21">
        <v>0</v>
      </c>
      <c r="AC2" s="18">
        <v>44244</v>
      </c>
      <c r="AD2" s="21">
        <v>202</v>
      </c>
      <c r="AE2" s="21">
        <v>212</v>
      </c>
    </row>
    <row r="3" spans="1:36" x14ac:dyDescent="0.25">
      <c r="A3" s="1">
        <v>44242</v>
      </c>
      <c r="B3" s="46"/>
      <c r="C3" s="46"/>
      <c r="D3" s="46"/>
      <c r="E3" s="46"/>
      <c r="F3" s="45">
        <v>1</v>
      </c>
      <c r="G3" s="46" t="s">
        <v>304</v>
      </c>
      <c r="H3" s="46" t="s">
        <v>29</v>
      </c>
      <c r="I3" s="46" t="s">
        <v>16</v>
      </c>
      <c r="J3" t="s">
        <v>302</v>
      </c>
      <c r="K3" t="s">
        <v>142</v>
      </c>
      <c r="V3" s="10" t="s">
        <v>286</v>
      </c>
      <c r="W3" s="10" t="s">
        <v>104</v>
      </c>
      <c r="X3" s="10" t="s">
        <v>104</v>
      </c>
      <c r="Y3" s="10" t="s">
        <v>73</v>
      </c>
      <c r="Z3" s="18">
        <v>44255</v>
      </c>
      <c r="AC3" s="18">
        <v>44243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E6DA0-257A-4419-A6D1-B421D7280787}">
  <sheetPr codeName="Planilha6"/>
  <dimension ref="A1:AG6"/>
  <sheetViews>
    <sheetView topLeftCell="Y1" workbookViewId="0">
      <selection activeCell="AA22" sqref="AA22"/>
    </sheetView>
  </sheetViews>
  <sheetFormatPr defaultRowHeight="15" x14ac:dyDescent="0.25"/>
  <cols>
    <col min="1" max="3" width="21.7109375" style="8" customWidth="1"/>
    <col min="4" max="6" width="21.7109375" style="6" customWidth="1"/>
    <col min="7" max="7" width="21.7109375" style="5" customWidth="1"/>
    <col min="8" max="10" width="21.7109375" customWidth="1"/>
    <col min="11" max="11" width="21.7109375" style="7" customWidth="1"/>
    <col min="12" max="15" width="21.7109375" customWidth="1"/>
    <col min="16" max="17" width="21.7109375" style="5" customWidth="1"/>
    <col min="18" max="18" width="21.7109375" style="47" customWidth="1"/>
    <col min="19" max="19" width="21.7109375" style="10" customWidth="1"/>
    <col min="20" max="20" width="21.7109375" customWidth="1"/>
    <col min="21" max="21" width="21.7109375" style="10" customWidth="1"/>
    <col min="22" max="22" width="23.28515625" customWidth="1"/>
    <col min="23" max="27" width="21.7109375" style="10" customWidth="1"/>
    <col min="28" max="28" width="21.7109375" style="8" customWidth="1"/>
    <col min="29" max="29" width="20.85546875" style="1" bestFit="1" customWidth="1"/>
    <col min="30" max="30" width="20.85546875" style="1" customWidth="1"/>
    <col min="31" max="31" width="18.42578125" bestFit="1" customWidth="1"/>
    <col min="32" max="32" width="21.42578125" bestFit="1" customWidth="1"/>
    <col min="33" max="33" width="15.5703125" bestFit="1" customWidth="1"/>
  </cols>
  <sheetData>
    <row r="1" spans="1:33" s="2" customFormat="1" ht="21.75" customHeight="1" x14ac:dyDescent="0.25">
      <c r="A1" t="s">
        <v>87</v>
      </c>
      <c r="B1" t="s">
        <v>90</v>
      </c>
      <c r="C1" t="s">
        <v>91</v>
      </c>
      <c r="D1" t="s">
        <v>44</v>
      </c>
      <c r="E1" t="s">
        <v>53</v>
      </c>
      <c r="F1" t="s">
        <v>54</v>
      </c>
      <c r="G1" t="s">
        <v>55</v>
      </c>
      <c r="H1" t="s">
        <v>47</v>
      </c>
      <c r="I1" t="s">
        <v>56</v>
      </c>
      <c r="J1" t="s">
        <v>48</v>
      </c>
      <c r="K1" t="s">
        <v>49</v>
      </c>
      <c r="L1" t="s">
        <v>57</v>
      </c>
      <c r="M1" t="s">
        <v>58</v>
      </c>
      <c r="N1" t="s">
        <v>51</v>
      </c>
      <c r="O1" t="s">
        <v>59</v>
      </c>
      <c r="P1" t="s">
        <v>60</v>
      </c>
      <c r="Q1" t="s">
        <v>61</v>
      </c>
      <c r="R1" s="47" t="s">
        <v>88</v>
      </c>
      <c r="S1" t="s">
        <v>123</v>
      </c>
      <c r="T1" t="s">
        <v>63</v>
      </c>
      <c r="U1" t="s">
        <v>64</v>
      </c>
      <c r="V1" t="s">
        <v>65</v>
      </c>
      <c r="W1" t="s">
        <v>66</v>
      </c>
      <c r="X1" t="s">
        <v>67</v>
      </c>
      <c r="Y1" t="s">
        <v>68</v>
      </c>
      <c r="Z1" t="s">
        <v>69</v>
      </c>
      <c r="AA1" t="s">
        <v>136</v>
      </c>
      <c r="AB1" t="s">
        <v>100</v>
      </c>
      <c r="AC1" t="s">
        <v>109</v>
      </c>
      <c r="AD1" t="s">
        <v>110</v>
      </c>
      <c r="AE1" t="s">
        <v>140</v>
      </c>
      <c r="AF1" s="44" t="s">
        <v>283</v>
      </c>
      <c r="AG1" s="44" t="s">
        <v>284</v>
      </c>
    </row>
    <row r="2" spans="1:33" x14ac:dyDescent="0.25">
      <c r="A2" s="8" t="s">
        <v>310</v>
      </c>
      <c r="B2" s="8">
        <v>44289</v>
      </c>
      <c r="C2" s="8">
        <v>44289</v>
      </c>
      <c r="D2" s="6">
        <v>112</v>
      </c>
      <c r="E2" s="6">
        <v>4</v>
      </c>
      <c r="F2" s="6">
        <v>2</v>
      </c>
      <c r="G2" s="5">
        <v>1</v>
      </c>
      <c r="H2" t="s">
        <v>309</v>
      </c>
      <c r="I2" t="s">
        <v>300</v>
      </c>
      <c r="J2" t="s">
        <v>29</v>
      </c>
      <c r="K2" s="7" t="s">
        <v>16</v>
      </c>
      <c r="M2" t="s">
        <v>85</v>
      </c>
      <c r="N2" t="s">
        <v>141</v>
      </c>
      <c r="O2" t="s">
        <v>76</v>
      </c>
      <c r="P2" s="5">
        <v>12</v>
      </c>
      <c r="Q2" s="5" t="s">
        <v>282</v>
      </c>
      <c r="R2" s="47" t="s">
        <v>286</v>
      </c>
      <c r="S2" s="21">
        <v>135</v>
      </c>
      <c r="T2">
        <v>10</v>
      </c>
      <c r="U2" s="21">
        <v>12</v>
      </c>
      <c r="V2">
        <v>10</v>
      </c>
      <c r="W2" s="21">
        <v>12</v>
      </c>
      <c r="X2" s="21">
        <v>0</v>
      </c>
      <c r="Y2" s="21">
        <v>50</v>
      </c>
      <c r="Z2" s="21">
        <v>0</v>
      </c>
      <c r="AA2" s="21">
        <v>197</v>
      </c>
      <c r="AB2" s="8" t="s">
        <v>299</v>
      </c>
      <c r="AC2" s="1" t="s">
        <v>104</v>
      </c>
      <c r="AD2" s="1" t="s">
        <v>104</v>
      </c>
      <c r="AE2" t="s">
        <v>311</v>
      </c>
      <c r="AF2" s="45">
        <v>400</v>
      </c>
      <c r="AG2" s="45">
        <v>474</v>
      </c>
    </row>
    <row r="3" spans="1:33" x14ac:dyDescent="0.25">
      <c r="A3" s="8" t="s">
        <v>308</v>
      </c>
      <c r="B3" s="8" t="s">
        <v>306</v>
      </c>
      <c r="C3" s="8" t="s">
        <v>306</v>
      </c>
      <c r="D3" s="6">
        <v>2</v>
      </c>
      <c r="E3" s="6">
        <v>3</v>
      </c>
      <c r="F3" s="6">
        <v>3</v>
      </c>
      <c r="G3" s="5">
        <v>1</v>
      </c>
      <c r="H3" t="s">
        <v>307</v>
      </c>
      <c r="I3" t="s">
        <v>300</v>
      </c>
      <c r="J3" t="s">
        <v>28</v>
      </c>
      <c r="K3" s="7" t="s">
        <v>16</v>
      </c>
      <c r="M3" t="s">
        <v>85</v>
      </c>
      <c r="N3" t="s">
        <v>144</v>
      </c>
      <c r="O3" t="s">
        <v>84</v>
      </c>
      <c r="P3" s="5">
        <v>10</v>
      </c>
      <c r="Q3" s="5" t="s">
        <v>282</v>
      </c>
      <c r="R3" s="47" t="s">
        <v>285</v>
      </c>
      <c r="S3" s="21">
        <v>103</v>
      </c>
      <c r="T3">
        <v>10</v>
      </c>
      <c r="U3" s="21">
        <v>13</v>
      </c>
      <c r="V3">
        <v>10</v>
      </c>
      <c r="W3" s="21">
        <v>13</v>
      </c>
      <c r="X3" s="21">
        <v>0</v>
      </c>
      <c r="Y3" s="21">
        <v>0</v>
      </c>
      <c r="Z3" s="21">
        <v>0</v>
      </c>
      <c r="AA3" s="21">
        <v>116</v>
      </c>
      <c r="AB3" s="8" t="s">
        <v>299</v>
      </c>
      <c r="AC3" s="1" t="s">
        <v>104</v>
      </c>
      <c r="AD3" s="1" t="s">
        <v>104</v>
      </c>
      <c r="AE3" t="s">
        <v>306</v>
      </c>
      <c r="AF3" s="45">
        <v>203</v>
      </c>
      <c r="AG3" s="45">
        <v>229</v>
      </c>
    </row>
    <row r="4" spans="1:33" x14ac:dyDescent="0.25">
      <c r="A4" s="8">
        <v>44289</v>
      </c>
      <c r="B4" s="8">
        <v>44259</v>
      </c>
      <c r="C4" s="8">
        <v>44259</v>
      </c>
      <c r="D4" s="6">
        <v>111</v>
      </c>
      <c r="E4" s="6">
        <v>6</v>
      </c>
      <c r="F4" s="6">
        <v>1</v>
      </c>
      <c r="G4" s="5">
        <v>1</v>
      </c>
      <c r="H4" t="s">
        <v>316</v>
      </c>
      <c r="I4" t="s">
        <v>300</v>
      </c>
      <c r="J4" t="s">
        <v>28</v>
      </c>
      <c r="K4" s="43" t="s">
        <v>16</v>
      </c>
      <c r="M4" t="s">
        <v>85</v>
      </c>
      <c r="N4" t="s">
        <v>147</v>
      </c>
      <c r="O4" t="s">
        <v>76</v>
      </c>
      <c r="P4" s="5">
        <v>10</v>
      </c>
      <c r="Q4" s="5" t="s">
        <v>282</v>
      </c>
      <c r="R4" s="47" t="s">
        <v>287</v>
      </c>
      <c r="S4" s="21">
        <v>250</v>
      </c>
      <c r="T4">
        <v>10</v>
      </c>
      <c r="U4" s="21">
        <v>12</v>
      </c>
      <c r="V4">
        <v>0</v>
      </c>
      <c r="W4" s="21">
        <v>0</v>
      </c>
      <c r="X4" s="21">
        <v>0</v>
      </c>
      <c r="Y4" s="21">
        <v>0</v>
      </c>
      <c r="Z4" s="21">
        <v>0</v>
      </c>
      <c r="AA4" s="21">
        <v>262</v>
      </c>
      <c r="AB4" s="8">
        <v>44289</v>
      </c>
      <c r="AC4" s="1" t="s">
        <v>104</v>
      </c>
      <c r="AD4" s="1" t="s">
        <v>104</v>
      </c>
      <c r="AE4" s="8">
        <v>44319</v>
      </c>
      <c r="AF4" s="45">
        <v>450</v>
      </c>
      <c r="AG4" s="45">
        <v>462</v>
      </c>
    </row>
    <row r="5" spans="1:33" x14ac:dyDescent="0.25">
      <c r="A5" s="8">
        <v>44289</v>
      </c>
      <c r="E5" s="6">
        <v>7</v>
      </c>
      <c r="F5" s="6">
        <v>2</v>
      </c>
      <c r="G5" s="5">
        <v>152</v>
      </c>
      <c r="H5" t="s">
        <v>317</v>
      </c>
      <c r="I5" t="s">
        <v>300</v>
      </c>
      <c r="J5" t="s">
        <v>28</v>
      </c>
      <c r="K5" s="43" t="s">
        <v>16</v>
      </c>
      <c r="M5" t="s">
        <v>86</v>
      </c>
      <c r="N5" t="s">
        <v>148</v>
      </c>
      <c r="P5" s="5">
        <v>10</v>
      </c>
      <c r="R5" s="47" t="s">
        <v>287</v>
      </c>
      <c r="AB5" s="8">
        <v>44289</v>
      </c>
      <c r="AC5" s="1" t="s">
        <v>104</v>
      </c>
      <c r="AD5" s="1" t="s">
        <v>104</v>
      </c>
      <c r="AE5" s="8">
        <v>44289</v>
      </c>
    </row>
    <row r="6" spans="1:33" x14ac:dyDescent="0.25">
      <c r="A6" s="8">
        <v>44289</v>
      </c>
      <c r="B6" s="8">
        <v>44259</v>
      </c>
      <c r="C6" s="8">
        <v>44259</v>
      </c>
      <c r="D6" s="6">
        <v>3</v>
      </c>
      <c r="E6" s="6">
        <v>8</v>
      </c>
      <c r="F6" s="6">
        <v>121</v>
      </c>
      <c r="G6" s="5">
        <v>112</v>
      </c>
      <c r="H6" t="s">
        <v>319</v>
      </c>
      <c r="I6" t="s">
        <v>318</v>
      </c>
      <c r="J6" t="s">
        <v>29</v>
      </c>
      <c r="K6" s="43" t="s">
        <v>16</v>
      </c>
      <c r="M6" t="s">
        <v>86</v>
      </c>
      <c r="N6" t="s">
        <v>151</v>
      </c>
      <c r="O6" t="s">
        <v>84</v>
      </c>
      <c r="P6" s="5">
        <v>10</v>
      </c>
      <c r="Q6" s="5" t="s">
        <v>282</v>
      </c>
      <c r="R6" s="47" t="s">
        <v>287</v>
      </c>
      <c r="S6" s="21">
        <v>150</v>
      </c>
      <c r="T6">
        <v>10</v>
      </c>
      <c r="U6" s="21">
        <v>12</v>
      </c>
      <c r="V6">
        <v>10</v>
      </c>
      <c r="W6" s="21">
        <v>12</v>
      </c>
      <c r="X6" s="21">
        <v>0</v>
      </c>
      <c r="Y6" s="21">
        <v>10</v>
      </c>
      <c r="Z6" s="21">
        <v>0</v>
      </c>
      <c r="AA6" s="21">
        <v>172</v>
      </c>
      <c r="AB6" s="8">
        <v>44289</v>
      </c>
      <c r="AC6" s="1" t="s">
        <v>104</v>
      </c>
      <c r="AD6" s="1" t="s">
        <v>104</v>
      </c>
      <c r="AE6" s="8">
        <v>44289</v>
      </c>
      <c r="AF6" s="45">
        <v>200</v>
      </c>
      <c r="AG6" s="45">
        <v>234</v>
      </c>
    </row>
  </sheetData>
  <phoneticPr fontId="10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4E28B-AC9B-42BC-9899-1D98D9CC92D5}">
  <sheetPr codeName="Planilha14"/>
  <dimension ref="A1:R6"/>
  <sheetViews>
    <sheetView workbookViewId="0">
      <selection activeCell="H8" sqref="H8"/>
    </sheetView>
  </sheetViews>
  <sheetFormatPr defaultRowHeight="15" x14ac:dyDescent="0.25"/>
  <cols>
    <col min="1" max="3" width="16.42578125" customWidth="1"/>
    <col min="4" max="4" width="16.42578125" style="1" customWidth="1"/>
    <col min="5" max="5" width="19.140625" style="10" customWidth="1"/>
    <col min="6" max="6" width="16.5703125" style="10" customWidth="1"/>
    <col min="7" max="9" width="16.42578125" style="10" customWidth="1"/>
    <col min="10" max="10" width="19.7109375" style="10" customWidth="1"/>
    <col min="11" max="11" width="20.28515625" style="10" customWidth="1"/>
    <col min="12" max="13" width="16.42578125" style="10" customWidth="1"/>
    <col min="14" max="17" width="20" customWidth="1"/>
    <col min="18" max="18" width="16.42578125" customWidth="1"/>
  </cols>
  <sheetData>
    <row r="1" spans="1:18" x14ac:dyDescent="0.25">
      <c r="A1" t="s">
        <v>111</v>
      </c>
      <c r="B1" t="s">
        <v>53</v>
      </c>
      <c r="C1" t="s">
        <v>114</v>
      </c>
      <c r="D1" t="s">
        <v>90</v>
      </c>
      <c r="E1" t="s">
        <v>123</v>
      </c>
      <c r="F1" t="s">
        <v>64</v>
      </c>
      <c r="G1" t="s">
        <v>67</v>
      </c>
      <c r="H1" t="s">
        <v>68</v>
      </c>
      <c r="I1" t="s">
        <v>124</v>
      </c>
      <c r="J1" t="s">
        <v>102</v>
      </c>
      <c r="K1" t="s">
        <v>122</v>
      </c>
      <c r="L1" t="s">
        <v>69</v>
      </c>
      <c r="M1" t="s">
        <v>70</v>
      </c>
      <c r="N1" t="s">
        <v>112</v>
      </c>
      <c r="O1" t="s">
        <v>113</v>
      </c>
      <c r="P1" t="s">
        <v>103</v>
      </c>
      <c r="Q1" t="s">
        <v>116</v>
      </c>
      <c r="R1" t="s">
        <v>88</v>
      </c>
    </row>
    <row r="2" spans="1:18" x14ac:dyDescent="0.25">
      <c r="A2" t="s">
        <v>144</v>
      </c>
      <c r="B2">
        <v>2</v>
      </c>
      <c r="D2" s="1" t="s">
        <v>308</v>
      </c>
      <c r="E2" s="21">
        <v>101</v>
      </c>
      <c r="F2" s="21">
        <v>0</v>
      </c>
      <c r="G2" s="21">
        <v>0</v>
      </c>
      <c r="H2" s="21">
        <v>0</v>
      </c>
      <c r="I2" s="21">
        <v>10</v>
      </c>
      <c r="J2" s="21">
        <v>0</v>
      </c>
      <c r="K2" s="21">
        <v>0</v>
      </c>
      <c r="L2" s="21">
        <v>0</v>
      </c>
      <c r="M2" s="21">
        <v>111</v>
      </c>
      <c r="N2" s="1">
        <v>44255</v>
      </c>
      <c r="O2" t="s">
        <v>115</v>
      </c>
      <c r="P2" s="44" t="s">
        <v>104</v>
      </c>
      <c r="Q2" s="1">
        <v>44255</v>
      </c>
      <c r="R2" t="s">
        <v>291</v>
      </c>
    </row>
    <row r="3" spans="1:18" x14ac:dyDescent="0.25">
      <c r="A3" t="s">
        <v>144</v>
      </c>
      <c r="B3">
        <v>3</v>
      </c>
      <c r="D3" s="8" t="s">
        <v>306</v>
      </c>
      <c r="E3" s="21">
        <v>103</v>
      </c>
      <c r="F3" s="21">
        <v>13</v>
      </c>
      <c r="G3" s="21">
        <v>0</v>
      </c>
      <c r="H3" s="21">
        <v>0</v>
      </c>
      <c r="I3" s="21"/>
      <c r="J3" s="21"/>
      <c r="K3" s="21"/>
      <c r="L3" s="21">
        <v>0</v>
      </c>
      <c r="M3" s="21">
        <v>116</v>
      </c>
      <c r="N3" s="1">
        <v>44255</v>
      </c>
      <c r="O3" t="s">
        <v>125</v>
      </c>
      <c r="P3" t="s">
        <v>104</v>
      </c>
      <c r="R3" t="s">
        <v>285</v>
      </c>
    </row>
    <row r="4" spans="1:18" s="44" customFormat="1" x14ac:dyDescent="0.25">
      <c r="A4" s="44" t="s">
        <v>151</v>
      </c>
      <c r="B4" s="44">
        <v>8</v>
      </c>
      <c r="D4" s="8">
        <v>44289</v>
      </c>
      <c r="E4" s="21">
        <v>150</v>
      </c>
      <c r="F4" s="21">
        <v>12</v>
      </c>
      <c r="G4" s="21">
        <v>0</v>
      </c>
      <c r="H4" s="21">
        <v>10</v>
      </c>
      <c r="I4" s="21"/>
      <c r="J4" s="21"/>
      <c r="K4" s="21"/>
      <c r="L4" s="21">
        <v>0</v>
      </c>
      <c r="M4" s="21">
        <v>172</v>
      </c>
      <c r="N4" s="1">
        <v>44259</v>
      </c>
      <c r="O4" s="44" t="s">
        <v>125</v>
      </c>
      <c r="P4" s="53" t="s">
        <v>104</v>
      </c>
      <c r="Q4" s="1">
        <v>44257</v>
      </c>
      <c r="R4" s="44" t="s">
        <v>287</v>
      </c>
    </row>
    <row r="5" spans="1:18" s="44" customFormat="1" x14ac:dyDescent="0.25">
      <c r="A5" s="13" t="s">
        <v>144</v>
      </c>
      <c r="B5" s="13">
        <v>5</v>
      </c>
      <c r="C5" s="13"/>
      <c r="D5" s="55" t="s">
        <v>306</v>
      </c>
      <c r="E5" s="56">
        <v>105</v>
      </c>
      <c r="F5" s="56">
        <v>13</v>
      </c>
      <c r="G5" s="56">
        <v>0</v>
      </c>
      <c r="H5" s="56">
        <v>0</v>
      </c>
      <c r="I5" s="56"/>
      <c r="J5" s="56"/>
      <c r="K5" s="56"/>
      <c r="L5" s="56">
        <v>0</v>
      </c>
      <c r="M5" s="56">
        <v>116</v>
      </c>
      <c r="N5" s="57">
        <v>44255</v>
      </c>
      <c r="O5" s="13" t="s">
        <v>125</v>
      </c>
      <c r="P5" s="58" t="s">
        <v>104</v>
      </c>
      <c r="Q5" s="57">
        <v>44257</v>
      </c>
      <c r="R5" s="13" t="s">
        <v>285</v>
      </c>
    </row>
    <row r="6" spans="1:18" x14ac:dyDescent="0.25">
      <c r="E6" s="10" t="s">
        <v>313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BC1C1-DB1B-4E73-8B1C-ADB7FA0933E1}">
  <sheetPr codeName="Planilha15"/>
  <dimension ref="A1:U7"/>
  <sheetViews>
    <sheetView topLeftCell="F1" workbookViewId="0">
      <selection activeCell="H23" sqref="H23"/>
    </sheetView>
  </sheetViews>
  <sheetFormatPr defaultRowHeight="15" x14ac:dyDescent="0.25"/>
  <cols>
    <col min="1" max="3" width="22.7109375" customWidth="1"/>
    <col min="4" max="4" width="22.7109375" style="37" customWidth="1"/>
    <col min="5" max="13" width="22.7109375" style="10" customWidth="1"/>
    <col min="14" max="17" width="22.7109375" customWidth="1"/>
    <col min="18" max="20" width="22.7109375" style="44" customWidth="1"/>
    <col min="21" max="21" width="22.7109375" customWidth="1"/>
  </cols>
  <sheetData>
    <row r="1" spans="1:21" x14ac:dyDescent="0.25">
      <c r="A1" t="s">
        <v>111</v>
      </c>
      <c r="B1" t="s">
        <v>53</v>
      </c>
      <c r="C1" t="s">
        <v>114</v>
      </c>
      <c r="D1" t="s">
        <v>90</v>
      </c>
      <c r="E1" t="s">
        <v>123</v>
      </c>
      <c r="F1" t="s">
        <v>64</v>
      </c>
      <c r="G1" t="s">
        <v>67</v>
      </c>
      <c r="H1" t="s">
        <v>68</v>
      </c>
      <c r="I1" t="s">
        <v>124</v>
      </c>
      <c r="J1" t="s">
        <v>102</v>
      </c>
      <c r="K1" t="s">
        <v>127</v>
      </c>
      <c r="L1" t="s">
        <v>69</v>
      </c>
      <c r="M1" t="s">
        <v>136</v>
      </c>
      <c r="N1" t="s">
        <v>112</v>
      </c>
      <c r="O1" t="s">
        <v>113</v>
      </c>
      <c r="P1" t="s">
        <v>103</v>
      </c>
      <c r="Q1" t="s">
        <v>87</v>
      </c>
      <c r="R1" s="44" t="s">
        <v>88</v>
      </c>
      <c r="S1" t="s">
        <v>44</v>
      </c>
      <c r="T1" s="44" t="s">
        <v>314</v>
      </c>
      <c r="U1" t="s">
        <v>315</v>
      </c>
    </row>
    <row r="2" spans="1:21" x14ac:dyDescent="0.25">
      <c r="A2" t="s">
        <v>144</v>
      </c>
      <c r="B2">
        <v>2</v>
      </c>
      <c r="D2" s="37" t="s">
        <v>308</v>
      </c>
      <c r="E2" s="21">
        <v>202</v>
      </c>
      <c r="F2" s="21">
        <v>0</v>
      </c>
      <c r="G2" s="21">
        <v>0</v>
      </c>
      <c r="H2" s="21">
        <v>0</v>
      </c>
      <c r="I2" s="21">
        <v>10</v>
      </c>
      <c r="J2" s="21">
        <v>0</v>
      </c>
      <c r="K2" s="21">
        <v>0</v>
      </c>
      <c r="L2" s="21">
        <v>0</v>
      </c>
      <c r="M2" s="21">
        <v>212</v>
      </c>
      <c r="N2" s="1">
        <v>44255</v>
      </c>
      <c r="O2" t="s">
        <v>115</v>
      </c>
      <c r="P2" t="s">
        <v>104</v>
      </c>
      <c r="Q2" s="1">
        <v>44258</v>
      </c>
      <c r="R2" s="44" t="s">
        <v>291</v>
      </c>
      <c r="T2" s="21">
        <v>212</v>
      </c>
    </row>
    <row r="3" spans="1:21" x14ac:dyDescent="0.25">
      <c r="A3" t="s">
        <v>141</v>
      </c>
      <c r="B3">
        <v>4</v>
      </c>
      <c r="D3" s="37" t="s">
        <v>281</v>
      </c>
      <c r="E3" s="21">
        <v>200</v>
      </c>
      <c r="F3" s="21">
        <v>12</v>
      </c>
      <c r="G3" s="21">
        <v>10</v>
      </c>
      <c r="H3" s="21">
        <v>0</v>
      </c>
      <c r="I3" s="21"/>
      <c r="J3" s="21"/>
      <c r="K3" s="21"/>
      <c r="L3" s="21">
        <v>10</v>
      </c>
      <c r="M3" s="21">
        <v>244</v>
      </c>
      <c r="N3" s="1">
        <v>44255</v>
      </c>
      <c r="O3" t="s">
        <v>125</v>
      </c>
      <c r="P3" s="44" t="s">
        <v>104</v>
      </c>
      <c r="Q3" s="1">
        <v>44258</v>
      </c>
      <c r="R3" s="44" t="s">
        <v>286</v>
      </c>
      <c r="T3" s="21">
        <v>244</v>
      </c>
    </row>
    <row r="4" spans="1:21" x14ac:dyDescent="0.25">
      <c r="A4" t="s">
        <v>151</v>
      </c>
      <c r="B4">
        <v>10</v>
      </c>
      <c r="C4">
        <v>121</v>
      </c>
      <c r="D4" s="8">
        <v>44289</v>
      </c>
      <c r="E4" s="21">
        <v>200</v>
      </c>
      <c r="F4" s="21">
        <v>12</v>
      </c>
      <c r="G4" s="21">
        <v>0</v>
      </c>
      <c r="H4" s="21">
        <v>10</v>
      </c>
      <c r="I4" s="21"/>
      <c r="J4" s="21"/>
      <c r="K4" s="21"/>
      <c r="L4" s="21">
        <v>0</v>
      </c>
      <c r="M4" s="21">
        <v>234</v>
      </c>
      <c r="N4" s="1">
        <v>44259</v>
      </c>
      <c r="O4" s="44" t="s">
        <v>125</v>
      </c>
      <c r="P4" s="44" t="s">
        <v>327</v>
      </c>
      <c r="Q4" s="1">
        <v>44260</v>
      </c>
      <c r="R4" s="44" t="s">
        <v>287</v>
      </c>
      <c r="S4" s="44">
        <v>3</v>
      </c>
      <c r="T4" s="21">
        <v>134</v>
      </c>
      <c r="U4" s="44" t="s">
        <v>328</v>
      </c>
    </row>
    <row r="5" spans="1:21" s="44" customFormat="1" x14ac:dyDescent="0.25">
      <c r="A5" s="44" t="s">
        <v>144</v>
      </c>
      <c r="B5" s="44">
        <v>9</v>
      </c>
      <c r="D5" s="37" t="s">
        <v>320</v>
      </c>
      <c r="E5" s="21">
        <v>198.666666666667</v>
      </c>
      <c r="F5" s="21">
        <v>20</v>
      </c>
      <c r="G5" s="21">
        <v>3.3333333333333401</v>
      </c>
      <c r="H5" s="21">
        <v>13.3333333333333</v>
      </c>
      <c r="I5" s="21">
        <v>10</v>
      </c>
      <c r="J5" s="21">
        <v>0</v>
      </c>
      <c r="K5" s="21">
        <v>0</v>
      </c>
      <c r="L5" s="21">
        <v>3.3333333333333401</v>
      </c>
      <c r="M5" s="21">
        <v>252</v>
      </c>
      <c r="N5" s="1">
        <v>44255</v>
      </c>
      <c r="O5" s="44" t="s">
        <v>115</v>
      </c>
      <c r="P5" s="44" t="s">
        <v>104</v>
      </c>
      <c r="Q5" s="1">
        <v>44258</v>
      </c>
      <c r="R5" s="44" t="s">
        <v>291</v>
      </c>
      <c r="T5" s="21">
        <v>252</v>
      </c>
    </row>
    <row r="6" spans="1:21" x14ac:dyDescent="0.25">
      <c r="A6" s="44" t="s">
        <v>148</v>
      </c>
      <c r="B6" s="44">
        <v>7</v>
      </c>
      <c r="C6" s="44">
        <v>2</v>
      </c>
      <c r="D6" s="8">
        <v>44289</v>
      </c>
      <c r="E6" s="21">
        <v>400</v>
      </c>
      <c r="F6" s="21">
        <v>12</v>
      </c>
      <c r="G6" s="21">
        <v>0</v>
      </c>
      <c r="H6" s="21">
        <v>50</v>
      </c>
      <c r="I6" s="21"/>
      <c r="J6" s="21"/>
      <c r="K6" s="21"/>
      <c r="L6" s="21">
        <v>0</v>
      </c>
      <c r="M6" s="21">
        <v>474</v>
      </c>
      <c r="N6" s="1">
        <v>44259</v>
      </c>
      <c r="O6" s="44" t="s">
        <v>125</v>
      </c>
      <c r="P6" s="54" t="s">
        <v>104</v>
      </c>
      <c r="Q6" s="1">
        <v>44259</v>
      </c>
      <c r="R6" s="53" t="s">
        <v>287</v>
      </c>
      <c r="S6" s="44">
        <v>112</v>
      </c>
      <c r="T6" s="21">
        <v>474</v>
      </c>
      <c r="U6" s="44"/>
    </row>
    <row r="7" spans="1:21" x14ac:dyDescent="0.25">
      <c r="A7" t="s">
        <v>151</v>
      </c>
      <c r="B7">
        <v>8</v>
      </c>
      <c r="C7">
        <v>121</v>
      </c>
      <c r="D7" s="8">
        <v>44259</v>
      </c>
      <c r="E7" s="21">
        <v>200</v>
      </c>
      <c r="F7" s="21">
        <v>12</v>
      </c>
      <c r="G7" s="21">
        <v>0</v>
      </c>
      <c r="H7" s="21">
        <v>10</v>
      </c>
      <c r="I7" s="21"/>
      <c r="J7" s="21"/>
      <c r="K7" s="21"/>
      <c r="L7" s="21">
        <v>0</v>
      </c>
      <c r="M7" s="21">
        <v>234</v>
      </c>
      <c r="N7" s="1">
        <v>44259</v>
      </c>
      <c r="O7" t="s">
        <v>125</v>
      </c>
      <c r="P7" s="54" t="s">
        <v>327</v>
      </c>
      <c r="Q7" s="1">
        <v>44260</v>
      </c>
      <c r="R7" s="44" t="s">
        <v>287</v>
      </c>
      <c r="S7" s="44">
        <v>3</v>
      </c>
      <c r="T7" s="21">
        <v>84</v>
      </c>
      <c r="U7" t="s">
        <v>300</v>
      </c>
    </row>
  </sheetData>
  <phoneticPr fontId="10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03B23-0DA0-4F3E-A2DE-F3631DB7BAC2}">
  <sheetPr codeName="Planilha21"/>
  <dimension ref="A1:AG120"/>
  <sheetViews>
    <sheetView topLeftCell="U1" workbookViewId="0">
      <selection activeCell="A15" sqref="A15"/>
    </sheetView>
  </sheetViews>
  <sheetFormatPr defaultRowHeight="15" x14ac:dyDescent="0.25"/>
  <cols>
    <col min="1" max="1" width="47" bestFit="1" customWidth="1"/>
    <col min="2" max="3" width="15" bestFit="1" customWidth="1"/>
    <col min="4" max="7" width="15.140625" bestFit="1" customWidth="1"/>
    <col min="8" max="8" width="11.85546875" bestFit="1" customWidth="1"/>
    <col min="9" max="9" width="12.28515625" bestFit="1" customWidth="1"/>
    <col min="10" max="14" width="21.7109375" customWidth="1"/>
    <col min="15" max="15" width="18.85546875" bestFit="1" customWidth="1"/>
    <col min="16" max="16" width="46.28515625" bestFit="1" customWidth="1"/>
    <col min="17" max="17" width="18.28515625" bestFit="1" customWidth="1"/>
    <col min="18" max="18" width="9.140625" style="44" bestFit="1" customWidth="1"/>
    <col min="19" max="19" width="18.7109375" style="44" bestFit="1" customWidth="1"/>
    <col min="20" max="20" width="15.5703125" bestFit="1" customWidth="1"/>
    <col min="21" max="21" width="11.85546875" customWidth="1"/>
    <col min="22" max="22" width="31.140625" bestFit="1" customWidth="1"/>
    <col min="23" max="24" width="11.7109375" bestFit="1" customWidth="1"/>
    <col min="26" max="26" width="35" bestFit="1" customWidth="1"/>
    <col min="27" max="27" width="13.140625" bestFit="1" customWidth="1"/>
    <col min="28" max="28" width="9.140625" bestFit="1" customWidth="1"/>
    <col min="29" max="29" width="9.5703125" bestFit="1" customWidth="1"/>
    <col min="30" max="30" width="10.140625" bestFit="1" customWidth="1"/>
    <col min="31" max="31" width="16.28515625" bestFit="1" customWidth="1"/>
    <col min="32" max="32" width="16" bestFit="1" customWidth="1"/>
    <col min="33" max="33" width="9.140625" bestFit="1" customWidth="1"/>
    <col min="34" max="34" width="13.140625" bestFit="1" customWidth="1"/>
    <col min="35" max="35" width="11.7109375" bestFit="1" customWidth="1"/>
  </cols>
  <sheetData>
    <row r="1" spans="1:33" ht="38.25" customHeight="1" x14ac:dyDescent="0.25">
      <c r="V1" s="62" t="s">
        <v>326</v>
      </c>
      <c r="W1" s="62"/>
      <c r="X1" s="62"/>
      <c r="Z1" s="62" t="s">
        <v>330</v>
      </c>
      <c r="AA1" s="62"/>
      <c r="AB1" s="62"/>
      <c r="AC1" s="62"/>
      <c r="AD1" s="62"/>
      <c r="AE1" s="62"/>
      <c r="AF1" s="62"/>
      <c r="AG1" s="62"/>
    </row>
    <row r="2" spans="1:33" x14ac:dyDescent="0.25">
      <c r="V2" s="59" t="s">
        <v>325</v>
      </c>
      <c r="W2" s="59" t="s">
        <v>323</v>
      </c>
      <c r="X2" s="59" t="s">
        <v>324</v>
      </c>
      <c r="Z2" s="59" t="s">
        <v>329</v>
      </c>
      <c r="AA2" s="59" t="s">
        <v>83</v>
      </c>
      <c r="AB2" s="59" t="s">
        <v>67</v>
      </c>
      <c r="AC2" s="59" t="s">
        <v>68</v>
      </c>
      <c r="AD2" s="59" t="s">
        <v>124</v>
      </c>
      <c r="AE2" s="59" t="s">
        <v>102</v>
      </c>
      <c r="AF2" s="59" t="s">
        <v>127</v>
      </c>
      <c r="AG2" s="59" t="s">
        <v>69</v>
      </c>
    </row>
    <row r="3" spans="1:33" x14ac:dyDescent="0.25">
      <c r="A3" s="31" t="s">
        <v>111</v>
      </c>
      <c r="B3" s="31" t="s">
        <v>44</v>
      </c>
      <c r="C3" s="31" t="s">
        <v>90</v>
      </c>
      <c r="D3" s="31" t="s">
        <v>53</v>
      </c>
      <c r="E3" s="31" t="s">
        <v>114</v>
      </c>
      <c r="F3" s="31" t="s">
        <v>123</v>
      </c>
      <c r="G3" s="31" t="s">
        <v>64</v>
      </c>
      <c r="H3" s="31" t="s">
        <v>67</v>
      </c>
      <c r="I3" s="31" t="s">
        <v>68</v>
      </c>
      <c r="J3" s="31" t="s">
        <v>124</v>
      </c>
      <c r="K3" s="31" t="s">
        <v>102</v>
      </c>
      <c r="L3" s="31" t="s">
        <v>127</v>
      </c>
      <c r="M3" s="31" t="s">
        <v>69</v>
      </c>
      <c r="N3" s="31" t="s">
        <v>136</v>
      </c>
      <c r="O3" s="31" t="s">
        <v>314</v>
      </c>
      <c r="P3" s="31" t="s">
        <v>112</v>
      </c>
      <c r="Q3" s="31" t="s">
        <v>113</v>
      </c>
      <c r="R3" s="31" t="s">
        <v>103</v>
      </c>
      <c r="S3" s="31" t="s">
        <v>87</v>
      </c>
      <c r="T3" s="31" t="s">
        <v>88</v>
      </c>
      <c r="V3" s="49" t="s">
        <v>285</v>
      </c>
      <c r="W3" s="10">
        <f>SUMIF($T:$T,$V3,N:N)</f>
        <v>0</v>
      </c>
      <c r="X3" s="10">
        <f>SUMIF($T:$T,$V3,O:O)</f>
        <v>0</v>
      </c>
      <c r="Z3" s="51" t="s">
        <v>141</v>
      </c>
      <c r="AA3" s="10">
        <f>SUMIF($A:$A,$Z3,G:G)</f>
        <v>12</v>
      </c>
      <c r="AB3" s="10">
        <f>SUMIF($A:$A,$Z3,H:H)</f>
        <v>10</v>
      </c>
      <c r="AC3" s="10">
        <f>SUMIF($A:$A,$Z3,I:I)</f>
        <v>0</v>
      </c>
      <c r="AD3" s="10">
        <f>SUMIF($A:$A,$Z3,J:J)</f>
        <v>0</v>
      </c>
      <c r="AE3" s="10">
        <f>SUMIF($A:$A,$Z3,K:K)</f>
        <v>0</v>
      </c>
      <c r="AF3" s="10">
        <f>SUMIF($A:$A,$Z3,L:L)</f>
        <v>0</v>
      </c>
      <c r="AG3" s="10">
        <f>SUMIF($A:$A,$Z3,M:M)</f>
        <v>10</v>
      </c>
    </row>
    <row r="4" spans="1:33" x14ac:dyDescent="0.25">
      <c r="A4" s="44" t="s">
        <v>141</v>
      </c>
      <c r="B4" s="44" t="s">
        <v>121</v>
      </c>
      <c r="C4" s="44" t="s">
        <v>281</v>
      </c>
      <c r="D4" s="44">
        <v>4</v>
      </c>
      <c r="E4" s="44" t="s">
        <v>121</v>
      </c>
      <c r="F4" s="45">
        <v>200</v>
      </c>
      <c r="G4" s="45">
        <v>12</v>
      </c>
      <c r="H4" s="45">
        <v>10</v>
      </c>
      <c r="I4" s="45">
        <v>0</v>
      </c>
      <c r="J4" s="44" t="s">
        <v>121</v>
      </c>
      <c r="K4" s="44" t="s">
        <v>121</v>
      </c>
      <c r="L4" s="44" t="s">
        <v>121</v>
      </c>
      <c r="M4" s="45">
        <v>10</v>
      </c>
      <c r="N4" s="45">
        <v>244</v>
      </c>
      <c r="O4" s="44">
        <v>244</v>
      </c>
      <c r="P4" s="1" t="s">
        <v>321</v>
      </c>
      <c r="Q4" s="44" t="s">
        <v>125</v>
      </c>
      <c r="R4" s="44" t="s">
        <v>104</v>
      </c>
      <c r="S4" s="1">
        <v>44258</v>
      </c>
      <c r="T4" s="44" t="s">
        <v>286</v>
      </c>
      <c r="V4" s="50" t="s">
        <v>286</v>
      </c>
      <c r="W4" s="10">
        <f t="shared" ref="W4:W17" si="0">SUMIF($T:$T,$V4,N:N)</f>
        <v>244</v>
      </c>
      <c r="X4" s="10">
        <f t="shared" ref="X4:X26" si="1">SUMIF($T:$T,$V4,O:O)</f>
        <v>244</v>
      </c>
      <c r="Z4" s="52" t="s">
        <v>142</v>
      </c>
      <c r="AA4" s="10">
        <f t="shared" ref="AA4:AA26" si="2">SUMIF($A:$A,$Z4,G:G)</f>
        <v>0</v>
      </c>
      <c r="AB4" s="10">
        <f t="shared" ref="AB4:AB26" si="3">SUMIF($A:$A,$Z4,H:H)</f>
        <v>0</v>
      </c>
      <c r="AC4" s="10">
        <f t="shared" ref="AC4:AC26" si="4">SUMIF($A:$A,$Z4,I:I)</f>
        <v>0</v>
      </c>
      <c r="AD4" s="10">
        <f t="shared" ref="AD4:AD26" si="5">SUMIF($A:$A,$Z4,J:J)</f>
        <v>0</v>
      </c>
      <c r="AE4" s="10">
        <f t="shared" ref="AE4:AE26" si="6">SUMIF($A:$A,$Z4,K:K)</f>
        <v>0</v>
      </c>
      <c r="AF4" s="10">
        <f t="shared" ref="AF4:AF26" si="7">SUMIF($A:$A,$Z4,L:L)</f>
        <v>0</v>
      </c>
      <c r="AG4" s="10">
        <f t="shared" ref="AG4:AG26" si="8">SUMIF($A:$A,$Z4,M:M)</f>
        <v>0</v>
      </c>
    </row>
    <row r="5" spans="1:33" x14ac:dyDescent="0.25">
      <c r="A5" s="44" t="s">
        <v>144</v>
      </c>
      <c r="B5" s="44" t="s">
        <v>121</v>
      </c>
      <c r="C5" s="44" t="s">
        <v>308</v>
      </c>
      <c r="D5" s="44">
        <v>2</v>
      </c>
      <c r="E5" s="44" t="s">
        <v>121</v>
      </c>
      <c r="F5" s="45">
        <v>202</v>
      </c>
      <c r="G5" s="45">
        <v>0</v>
      </c>
      <c r="H5" s="45">
        <v>0</v>
      </c>
      <c r="I5" s="45">
        <v>0</v>
      </c>
      <c r="J5" s="44">
        <v>10</v>
      </c>
      <c r="K5" s="44">
        <v>0</v>
      </c>
      <c r="L5" s="44">
        <v>0</v>
      </c>
      <c r="M5" s="45">
        <v>0</v>
      </c>
      <c r="N5" s="45">
        <v>212</v>
      </c>
      <c r="O5" s="44">
        <v>212</v>
      </c>
      <c r="P5" s="1" t="s">
        <v>321</v>
      </c>
      <c r="Q5" s="44" t="s">
        <v>115</v>
      </c>
      <c r="R5" s="44" t="s">
        <v>104</v>
      </c>
      <c r="S5" s="1">
        <v>44258</v>
      </c>
      <c r="T5" s="44" t="s">
        <v>291</v>
      </c>
      <c r="V5" s="49" t="s">
        <v>287</v>
      </c>
      <c r="W5" s="10">
        <f t="shared" si="0"/>
        <v>942</v>
      </c>
      <c r="X5" s="10">
        <f t="shared" si="1"/>
        <v>692</v>
      </c>
      <c r="Z5" s="51" t="s">
        <v>143</v>
      </c>
      <c r="AA5" s="10">
        <f t="shared" si="2"/>
        <v>0</v>
      </c>
      <c r="AB5" s="10">
        <f t="shared" si="3"/>
        <v>0</v>
      </c>
      <c r="AC5" s="10">
        <f t="shared" si="4"/>
        <v>0</v>
      </c>
      <c r="AD5" s="10">
        <f t="shared" si="5"/>
        <v>0</v>
      </c>
      <c r="AE5" s="10">
        <f t="shared" si="6"/>
        <v>0</v>
      </c>
      <c r="AF5" s="10">
        <f t="shared" si="7"/>
        <v>0</v>
      </c>
      <c r="AG5" s="10">
        <f t="shared" si="8"/>
        <v>0</v>
      </c>
    </row>
    <row r="6" spans="1:33" x14ac:dyDescent="0.25">
      <c r="A6" s="44" t="s">
        <v>144</v>
      </c>
      <c r="B6" s="44" t="s">
        <v>121</v>
      </c>
      <c r="C6" s="44" t="s">
        <v>320</v>
      </c>
      <c r="D6" s="44">
        <v>9</v>
      </c>
      <c r="E6" s="44" t="s">
        <v>121</v>
      </c>
      <c r="F6" s="45">
        <v>198.666666666667</v>
      </c>
      <c r="G6" s="45">
        <v>20</v>
      </c>
      <c r="H6" s="45">
        <v>3.3333333333333401</v>
      </c>
      <c r="I6" s="45">
        <v>13.3333333333333</v>
      </c>
      <c r="J6" s="44">
        <v>10</v>
      </c>
      <c r="K6" s="44">
        <v>0</v>
      </c>
      <c r="L6" s="44">
        <v>0</v>
      </c>
      <c r="M6" s="45">
        <v>3.3333333333333401</v>
      </c>
      <c r="N6" s="45">
        <v>252</v>
      </c>
      <c r="O6" s="44">
        <v>252</v>
      </c>
      <c r="P6" s="1" t="s">
        <v>321</v>
      </c>
      <c r="Q6" s="44" t="s">
        <v>115</v>
      </c>
      <c r="R6" s="44" t="s">
        <v>104</v>
      </c>
      <c r="S6" s="1">
        <v>44258</v>
      </c>
      <c r="T6" s="44" t="s">
        <v>291</v>
      </c>
      <c r="V6" s="50" t="s">
        <v>288</v>
      </c>
      <c r="W6" s="10">
        <f t="shared" si="0"/>
        <v>0</v>
      </c>
      <c r="X6" s="10">
        <f t="shared" si="1"/>
        <v>0</v>
      </c>
      <c r="Z6" s="52" t="s">
        <v>144</v>
      </c>
      <c r="AA6" s="10">
        <f t="shared" si="2"/>
        <v>20</v>
      </c>
      <c r="AB6" s="10">
        <f t="shared" si="3"/>
        <v>3.3333333333333401</v>
      </c>
      <c r="AC6" s="10">
        <f t="shared" si="4"/>
        <v>13.3333333333333</v>
      </c>
      <c r="AD6" s="10">
        <f t="shared" si="5"/>
        <v>20</v>
      </c>
      <c r="AE6" s="10">
        <f t="shared" si="6"/>
        <v>0</v>
      </c>
      <c r="AF6" s="10">
        <f t="shared" si="7"/>
        <v>0</v>
      </c>
      <c r="AG6" s="10">
        <f t="shared" si="8"/>
        <v>3.3333333333333401</v>
      </c>
    </row>
    <row r="7" spans="1:33" x14ac:dyDescent="0.25">
      <c r="A7" s="44" t="s">
        <v>148</v>
      </c>
      <c r="B7" s="44">
        <v>112</v>
      </c>
      <c r="C7" s="1">
        <v>44289</v>
      </c>
      <c r="D7" s="44">
        <v>7</v>
      </c>
      <c r="E7" s="44">
        <v>2</v>
      </c>
      <c r="F7" s="45">
        <v>400</v>
      </c>
      <c r="G7" s="45">
        <v>12</v>
      </c>
      <c r="H7" s="45">
        <v>0</v>
      </c>
      <c r="I7" s="45">
        <v>50</v>
      </c>
      <c r="J7" s="44" t="s">
        <v>121</v>
      </c>
      <c r="K7" s="44" t="s">
        <v>121</v>
      </c>
      <c r="L7" s="44" t="s">
        <v>121</v>
      </c>
      <c r="M7" s="45">
        <v>0</v>
      </c>
      <c r="N7" s="45">
        <v>474</v>
      </c>
      <c r="O7" s="44">
        <v>474</v>
      </c>
      <c r="P7" s="1" t="s">
        <v>322</v>
      </c>
      <c r="Q7" s="44" t="s">
        <v>125</v>
      </c>
      <c r="R7" s="44" t="s">
        <v>104</v>
      </c>
      <c r="S7" s="1">
        <v>44259</v>
      </c>
      <c r="T7" s="44" t="s">
        <v>287</v>
      </c>
      <c r="V7" s="49" t="s">
        <v>289</v>
      </c>
      <c r="W7" s="10">
        <f t="shared" si="0"/>
        <v>0</v>
      </c>
      <c r="X7" s="10">
        <f t="shared" si="1"/>
        <v>0</v>
      </c>
      <c r="Z7" s="51" t="s">
        <v>145</v>
      </c>
      <c r="AA7" s="10">
        <f t="shared" si="2"/>
        <v>0</v>
      </c>
      <c r="AB7" s="10">
        <f t="shared" si="3"/>
        <v>0</v>
      </c>
      <c r="AC7" s="10">
        <f t="shared" si="4"/>
        <v>0</v>
      </c>
      <c r="AD7" s="10">
        <f t="shared" si="5"/>
        <v>0</v>
      </c>
      <c r="AE7" s="10">
        <f t="shared" si="6"/>
        <v>0</v>
      </c>
      <c r="AF7" s="10">
        <f t="shared" si="7"/>
        <v>0</v>
      </c>
      <c r="AG7" s="10">
        <f t="shared" si="8"/>
        <v>0</v>
      </c>
    </row>
    <row r="8" spans="1:33" x14ac:dyDescent="0.25">
      <c r="A8" s="44" t="s">
        <v>151</v>
      </c>
      <c r="B8" s="44">
        <v>3</v>
      </c>
      <c r="C8" s="1">
        <v>44259</v>
      </c>
      <c r="D8" s="44">
        <v>8</v>
      </c>
      <c r="E8" s="44">
        <v>121</v>
      </c>
      <c r="F8" s="45">
        <v>200</v>
      </c>
      <c r="G8" s="45">
        <v>12</v>
      </c>
      <c r="H8" s="45">
        <v>0</v>
      </c>
      <c r="I8" s="45">
        <v>10</v>
      </c>
      <c r="J8" s="44" t="s">
        <v>121</v>
      </c>
      <c r="K8" s="44" t="s">
        <v>121</v>
      </c>
      <c r="L8" s="44" t="s">
        <v>121</v>
      </c>
      <c r="M8" s="45">
        <v>0</v>
      </c>
      <c r="N8" s="45">
        <v>234</v>
      </c>
      <c r="O8" s="44">
        <v>84</v>
      </c>
      <c r="P8" s="1" t="s">
        <v>322</v>
      </c>
      <c r="Q8" s="44" t="s">
        <v>125</v>
      </c>
      <c r="R8" s="44" t="s">
        <v>327</v>
      </c>
      <c r="S8" s="1">
        <v>44260</v>
      </c>
      <c r="T8" s="44" t="s">
        <v>287</v>
      </c>
      <c r="V8" s="50" t="s">
        <v>290</v>
      </c>
      <c r="W8" s="10">
        <f t="shared" si="0"/>
        <v>0</v>
      </c>
      <c r="X8" s="10">
        <f t="shared" si="1"/>
        <v>0</v>
      </c>
      <c r="Z8" s="52" t="s">
        <v>146</v>
      </c>
      <c r="AA8" s="10">
        <f t="shared" si="2"/>
        <v>0</v>
      </c>
      <c r="AB8" s="10">
        <f t="shared" si="3"/>
        <v>0</v>
      </c>
      <c r="AC8" s="10">
        <f t="shared" si="4"/>
        <v>0</v>
      </c>
      <c r="AD8" s="10">
        <f t="shared" si="5"/>
        <v>0</v>
      </c>
      <c r="AE8" s="10">
        <f t="shared" si="6"/>
        <v>0</v>
      </c>
      <c r="AF8" s="10">
        <f t="shared" si="7"/>
        <v>0</v>
      </c>
      <c r="AG8" s="10">
        <f t="shared" si="8"/>
        <v>0</v>
      </c>
    </row>
    <row r="9" spans="1:33" x14ac:dyDescent="0.25">
      <c r="A9" s="44" t="s">
        <v>151</v>
      </c>
      <c r="B9" s="44">
        <v>3</v>
      </c>
      <c r="C9" s="1">
        <v>44289</v>
      </c>
      <c r="D9" s="44">
        <v>10</v>
      </c>
      <c r="E9" s="44">
        <v>121</v>
      </c>
      <c r="F9" s="45">
        <v>200</v>
      </c>
      <c r="G9" s="45">
        <v>12</v>
      </c>
      <c r="H9" s="45">
        <v>0</v>
      </c>
      <c r="I9" s="45">
        <v>10</v>
      </c>
      <c r="J9" s="44" t="s">
        <v>121</v>
      </c>
      <c r="K9" s="44" t="s">
        <v>121</v>
      </c>
      <c r="L9" s="44" t="s">
        <v>121</v>
      </c>
      <c r="M9" s="45">
        <v>0</v>
      </c>
      <c r="N9" s="45">
        <v>234</v>
      </c>
      <c r="O9" s="44">
        <v>134</v>
      </c>
      <c r="P9" s="1" t="s">
        <v>322</v>
      </c>
      <c r="Q9" s="44" t="s">
        <v>125</v>
      </c>
      <c r="R9" s="44" t="s">
        <v>327</v>
      </c>
      <c r="S9" s="1">
        <v>44260</v>
      </c>
      <c r="T9" s="44" t="s">
        <v>287</v>
      </c>
      <c r="V9" s="49" t="s">
        <v>291</v>
      </c>
      <c r="W9" s="10">
        <f t="shared" si="0"/>
        <v>464</v>
      </c>
      <c r="X9" s="10">
        <f t="shared" si="1"/>
        <v>464</v>
      </c>
      <c r="Z9" s="51" t="s">
        <v>147</v>
      </c>
      <c r="AA9" s="10">
        <f t="shared" si="2"/>
        <v>0</v>
      </c>
      <c r="AB9" s="10">
        <f t="shared" si="3"/>
        <v>0</v>
      </c>
      <c r="AC9" s="10">
        <f t="shared" si="4"/>
        <v>0</v>
      </c>
      <c r="AD9" s="10">
        <f t="shared" si="5"/>
        <v>0</v>
      </c>
      <c r="AE9" s="10">
        <f t="shared" si="6"/>
        <v>0</v>
      </c>
      <c r="AF9" s="10">
        <f t="shared" si="7"/>
        <v>0</v>
      </c>
      <c r="AG9" s="10">
        <f t="shared" si="8"/>
        <v>0</v>
      </c>
    </row>
    <row r="10" spans="1:33" x14ac:dyDescent="0.25">
      <c r="R10"/>
      <c r="S10"/>
      <c r="V10" s="50" t="s">
        <v>301</v>
      </c>
      <c r="W10" s="10">
        <f t="shared" si="0"/>
        <v>0</v>
      </c>
      <c r="X10" s="10">
        <f t="shared" si="1"/>
        <v>0</v>
      </c>
      <c r="Z10" s="52" t="s">
        <v>148</v>
      </c>
      <c r="AA10" s="10">
        <f t="shared" si="2"/>
        <v>12</v>
      </c>
      <c r="AB10" s="10">
        <f t="shared" si="3"/>
        <v>0</v>
      </c>
      <c r="AC10" s="10">
        <f t="shared" si="4"/>
        <v>50</v>
      </c>
      <c r="AD10" s="10">
        <f t="shared" si="5"/>
        <v>0</v>
      </c>
      <c r="AE10" s="10">
        <f t="shared" si="6"/>
        <v>0</v>
      </c>
      <c r="AF10" s="10">
        <f t="shared" si="7"/>
        <v>0</v>
      </c>
      <c r="AG10" s="10">
        <f t="shared" si="8"/>
        <v>0</v>
      </c>
    </row>
    <row r="11" spans="1:33" x14ac:dyDescent="0.25">
      <c r="R11"/>
      <c r="S11"/>
      <c r="V11" s="49" t="s">
        <v>292</v>
      </c>
      <c r="W11" s="10">
        <f t="shared" si="0"/>
        <v>0</v>
      </c>
      <c r="X11" s="10">
        <f t="shared" si="1"/>
        <v>0</v>
      </c>
      <c r="Z11" s="51" t="s">
        <v>149</v>
      </c>
      <c r="AA11" s="10">
        <f t="shared" si="2"/>
        <v>0</v>
      </c>
      <c r="AB11" s="10">
        <f t="shared" si="3"/>
        <v>0</v>
      </c>
      <c r="AC11" s="10">
        <f t="shared" si="4"/>
        <v>0</v>
      </c>
      <c r="AD11" s="10">
        <f t="shared" si="5"/>
        <v>0</v>
      </c>
      <c r="AE11" s="10">
        <f t="shared" si="6"/>
        <v>0</v>
      </c>
      <c r="AF11" s="10">
        <f t="shared" si="7"/>
        <v>0</v>
      </c>
      <c r="AG11" s="10">
        <f t="shared" si="8"/>
        <v>0</v>
      </c>
    </row>
    <row r="12" spans="1:33" x14ac:dyDescent="0.25">
      <c r="R12"/>
      <c r="S12"/>
      <c r="V12" s="50" t="s">
        <v>293</v>
      </c>
      <c r="W12" s="10">
        <f t="shared" si="0"/>
        <v>0</v>
      </c>
      <c r="X12" s="10">
        <f t="shared" si="1"/>
        <v>0</v>
      </c>
      <c r="Z12" s="52" t="s">
        <v>150</v>
      </c>
      <c r="AA12" s="10">
        <f t="shared" si="2"/>
        <v>0</v>
      </c>
      <c r="AB12" s="10">
        <f t="shared" si="3"/>
        <v>0</v>
      </c>
      <c r="AC12" s="10">
        <f t="shared" si="4"/>
        <v>0</v>
      </c>
      <c r="AD12" s="10">
        <f t="shared" si="5"/>
        <v>0</v>
      </c>
      <c r="AE12" s="10">
        <f t="shared" si="6"/>
        <v>0</v>
      </c>
      <c r="AF12" s="10">
        <f t="shared" si="7"/>
        <v>0</v>
      </c>
      <c r="AG12" s="10">
        <f t="shared" si="8"/>
        <v>0</v>
      </c>
    </row>
    <row r="13" spans="1:33" x14ac:dyDescent="0.25">
      <c r="R13"/>
      <c r="S13"/>
      <c r="V13" s="49" t="s">
        <v>294</v>
      </c>
      <c r="W13" s="10">
        <f t="shared" si="0"/>
        <v>0</v>
      </c>
      <c r="X13" s="10">
        <f t="shared" si="1"/>
        <v>0</v>
      </c>
      <c r="Z13" s="51" t="s">
        <v>151</v>
      </c>
      <c r="AA13" s="10">
        <f t="shared" si="2"/>
        <v>24</v>
      </c>
      <c r="AB13" s="10">
        <f t="shared" si="3"/>
        <v>0</v>
      </c>
      <c r="AC13" s="10">
        <f t="shared" si="4"/>
        <v>20</v>
      </c>
      <c r="AD13" s="10">
        <f t="shared" si="5"/>
        <v>0</v>
      </c>
      <c r="AE13" s="10">
        <f t="shared" si="6"/>
        <v>0</v>
      </c>
      <c r="AF13" s="10">
        <f t="shared" si="7"/>
        <v>0</v>
      </c>
      <c r="AG13" s="10">
        <f t="shared" si="8"/>
        <v>0</v>
      </c>
    </row>
    <row r="14" spans="1:33" x14ac:dyDescent="0.25">
      <c r="R14"/>
      <c r="S14"/>
      <c r="V14" s="50" t="s">
        <v>295</v>
      </c>
      <c r="W14" s="10">
        <f t="shared" si="0"/>
        <v>0</v>
      </c>
      <c r="X14" s="10">
        <f t="shared" si="1"/>
        <v>0</v>
      </c>
      <c r="Z14" s="52" t="s">
        <v>152</v>
      </c>
      <c r="AA14" s="10">
        <f t="shared" si="2"/>
        <v>0</v>
      </c>
      <c r="AB14" s="10">
        <f t="shared" si="3"/>
        <v>0</v>
      </c>
      <c r="AC14" s="10">
        <f t="shared" si="4"/>
        <v>0</v>
      </c>
      <c r="AD14" s="10">
        <f t="shared" si="5"/>
        <v>0</v>
      </c>
      <c r="AE14" s="10">
        <f t="shared" si="6"/>
        <v>0</v>
      </c>
      <c r="AF14" s="10">
        <f t="shared" si="7"/>
        <v>0</v>
      </c>
      <c r="AG14" s="10">
        <f t="shared" si="8"/>
        <v>0</v>
      </c>
    </row>
    <row r="15" spans="1:33" x14ac:dyDescent="0.25">
      <c r="R15"/>
      <c r="S15"/>
      <c r="V15" s="49" t="s">
        <v>296</v>
      </c>
      <c r="W15" s="10">
        <f t="shared" si="0"/>
        <v>0</v>
      </c>
      <c r="X15" s="10">
        <f t="shared" si="1"/>
        <v>0</v>
      </c>
      <c r="Z15" s="51" t="s">
        <v>153</v>
      </c>
      <c r="AA15" s="10">
        <f t="shared" si="2"/>
        <v>0</v>
      </c>
      <c r="AB15" s="10">
        <f t="shared" si="3"/>
        <v>0</v>
      </c>
      <c r="AC15" s="10">
        <f t="shared" si="4"/>
        <v>0</v>
      </c>
      <c r="AD15" s="10">
        <f t="shared" si="5"/>
        <v>0</v>
      </c>
      <c r="AE15" s="10">
        <f t="shared" si="6"/>
        <v>0</v>
      </c>
      <c r="AF15" s="10">
        <f t="shared" si="7"/>
        <v>0</v>
      </c>
      <c r="AG15" s="10">
        <f t="shared" si="8"/>
        <v>0</v>
      </c>
    </row>
    <row r="16" spans="1:33" x14ac:dyDescent="0.25">
      <c r="R16"/>
      <c r="S16"/>
      <c r="V16" s="50" t="s">
        <v>297</v>
      </c>
      <c r="W16" s="10">
        <f t="shared" si="0"/>
        <v>0</v>
      </c>
      <c r="X16" s="10">
        <f t="shared" si="1"/>
        <v>0</v>
      </c>
      <c r="Z16" s="52" t="s">
        <v>154</v>
      </c>
      <c r="AA16" s="10">
        <f t="shared" si="2"/>
        <v>0</v>
      </c>
      <c r="AB16" s="10">
        <f t="shared" si="3"/>
        <v>0</v>
      </c>
      <c r="AC16" s="10">
        <f t="shared" si="4"/>
        <v>0</v>
      </c>
      <c r="AD16" s="10">
        <f t="shared" si="5"/>
        <v>0</v>
      </c>
      <c r="AE16" s="10">
        <f t="shared" si="6"/>
        <v>0</v>
      </c>
      <c r="AF16" s="10">
        <f t="shared" si="7"/>
        <v>0</v>
      </c>
      <c r="AG16" s="10">
        <f t="shared" si="8"/>
        <v>0</v>
      </c>
    </row>
    <row r="17" spans="18:33" x14ac:dyDescent="0.25">
      <c r="R17"/>
      <c r="S17"/>
      <c r="V17" s="49" t="s">
        <v>298</v>
      </c>
      <c r="W17" s="10">
        <f t="shared" si="0"/>
        <v>0</v>
      </c>
      <c r="X17" s="10">
        <f t="shared" si="1"/>
        <v>0</v>
      </c>
      <c r="Z17" s="51" t="s">
        <v>155</v>
      </c>
      <c r="AA17" s="10">
        <f t="shared" si="2"/>
        <v>0</v>
      </c>
      <c r="AB17" s="10">
        <f t="shared" si="3"/>
        <v>0</v>
      </c>
      <c r="AC17" s="10">
        <f t="shared" si="4"/>
        <v>0</v>
      </c>
      <c r="AD17" s="10">
        <f t="shared" si="5"/>
        <v>0</v>
      </c>
      <c r="AE17" s="10">
        <f t="shared" si="6"/>
        <v>0</v>
      </c>
      <c r="AF17" s="10">
        <f t="shared" si="7"/>
        <v>0</v>
      </c>
      <c r="AG17" s="10">
        <f t="shared" si="8"/>
        <v>0</v>
      </c>
    </row>
    <row r="18" spans="18:33" x14ac:dyDescent="0.25">
      <c r="R18"/>
      <c r="S18"/>
      <c r="V18" s="65" t="s">
        <v>323</v>
      </c>
      <c r="W18" s="10">
        <f>SUM(W3:W17)</f>
        <v>1650</v>
      </c>
      <c r="X18" s="10">
        <f>SUM(X3:X17)</f>
        <v>1400</v>
      </c>
      <c r="Z18" s="52" t="s">
        <v>156</v>
      </c>
      <c r="AA18" s="10">
        <f t="shared" si="2"/>
        <v>0</v>
      </c>
      <c r="AB18" s="10">
        <f t="shared" si="3"/>
        <v>0</v>
      </c>
      <c r="AC18" s="10">
        <f t="shared" si="4"/>
        <v>0</v>
      </c>
      <c r="AD18" s="10">
        <f t="shared" si="5"/>
        <v>0</v>
      </c>
      <c r="AE18" s="10">
        <f t="shared" si="6"/>
        <v>0</v>
      </c>
      <c r="AF18" s="10">
        <f t="shared" si="7"/>
        <v>0</v>
      </c>
      <c r="AG18" s="10">
        <f t="shared" si="8"/>
        <v>0</v>
      </c>
    </row>
    <row r="19" spans="18:33" x14ac:dyDescent="0.25">
      <c r="R19"/>
      <c r="S19"/>
      <c r="W19" s="10"/>
      <c r="X19" s="10"/>
      <c r="Z19" s="51" t="s">
        <v>157</v>
      </c>
      <c r="AA19" s="10">
        <f t="shared" si="2"/>
        <v>0</v>
      </c>
      <c r="AB19" s="10">
        <f t="shared" si="3"/>
        <v>0</v>
      </c>
      <c r="AC19" s="10">
        <f t="shared" si="4"/>
        <v>0</v>
      </c>
      <c r="AD19" s="10">
        <f t="shared" si="5"/>
        <v>0</v>
      </c>
      <c r="AE19" s="10">
        <f t="shared" si="6"/>
        <v>0</v>
      </c>
      <c r="AF19" s="10">
        <f t="shared" si="7"/>
        <v>0</v>
      </c>
      <c r="AG19" s="10">
        <f t="shared" si="8"/>
        <v>0</v>
      </c>
    </row>
    <row r="20" spans="18:33" x14ac:dyDescent="0.25">
      <c r="R20"/>
      <c r="S20"/>
      <c r="W20" s="10"/>
      <c r="X20" s="10"/>
      <c r="Z20" s="52" t="s">
        <v>158</v>
      </c>
      <c r="AA20" s="10">
        <f t="shared" si="2"/>
        <v>0</v>
      </c>
      <c r="AB20" s="10">
        <f t="shared" si="3"/>
        <v>0</v>
      </c>
      <c r="AC20" s="10">
        <f t="shared" si="4"/>
        <v>0</v>
      </c>
      <c r="AD20" s="10">
        <f t="shared" si="5"/>
        <v>0</v>
      </c>
      <c r="AE20" s="10">
        <f t="shared" si="6"/>
        <v>0</v>
      </c>
      <c r="AF20" s="10">
        <f t="shared" si="7"/>
        <v>0</v>
      </c>
      <c r="AG20" s="10">
        <f t="shared" si="8"/>
        <v>0</v>
      </c>
    </row>
    <row r="21" spans="18:33" x14ac:dyDescent="0.25">
      <c r="R21"/>
      <c r="S21"/>
      <c r="W21" s="10"/>
      <c r="X21" s="10"/>
      <c r="Z21" s="51" t="s">
        <v>159</v>
      </c>
      <c r="AA21" s="10">
        <f t="shared" si="2"/>
        <v>0</v>
      </c>
      <c r="AB21" s="10">
        <f t="shared" si="3"/>
        <v>0</v>
      </c>
      <c r="AC21" s="10">
        <f t="shared" si="4"/>
        <v>0</v>
      </c>
      <c r="AD21" s="10">
        <f t="shared" si="5"/>
        <v>0</v>
      </c>
      <c r="AE21" s="10">
        <f t="shared" si="6"/>
        <v>0</v>
      </c>
      <c r="AF21" s="10">
        <f t="shared" si="7"/>
        <v>0</v>
      </c>
      <c r="AG21" s="10">
        <f t="shared" si="8"/>
        <v>0</v>
      </c>
    </row>
    <row r="22" spans="18:33" x14ac:dyDescent="0.25">
      <c r="R22"/>
      <c r="S22"/>
      <c r="W22" s="10"/>
      <c r="X22" s="10"/>
      <c r="Z22" s="52" t="s">
        <v>160</v>
      </c>
      <c r="AA22" s="10">
        <f t="shared" si="2"/>
        <v>0</v>
      </c>
      <c r="AB22" s="10">
        <f t="shared" si="3"/>
        <v>0</v>
      </c>
      <c r="AC22" s="10">
        <f t="shared" si="4"/>
        <v>0</v>
      </c>
      <c r="AD22" s="10">
        <f t="shared" si="5"/>
        <v>0</v>
      </c>
      <c r="AE22" s="10">
        <f t="shared" si="6"/>
        <v>0</v>
      </c>
      <c r="AF22" s="10">
        <f t="shared" si="7"/>
        <v>0</v>
      </c>
      <c r="AG22" s="10">
        <f t="shared" si="8"/>
        <v>0</v>
      </c>
    </row>
    <row r="23" spans="18:33" x14ac:dyDescent="0.25">
      <c r="R23"/>
      <c r="S23"/>
      <c r="W23" s="10"/>
      <c r="X23" s="10"/>
      <c r="Z23" s="51" t="s">
        <v>161</v>
      </c>
      <c r="AA23" s="10">
        <f t="shared" si="2"/>
        <v>0</v>
      </c>
      <c r="AB23" s="10">
        <f t="shared" si="3"/>
        <v>0</v>
      </c>
      <c r="AC23" s="10">
        <f t="shared" si="4"/>
        <v>0</v>
      </c>
      <c r="AD23" s="10">
        <f t="shared" si="5"/>
        <v>0</v>
      </c>
      <c r="AE23" s="10">
        <f t="shared" si="6"/>
        <v>0</v>
      </c>
      <c r="AF23" s="10">
        <f t="shared" si="7"/>
        <v>0</v>
      </c>
      <c r="AG23" s="10">
        <f t="shared" si="8"/>
        <v>0</v>
      </c>
    </row>
    <row r="24" spans="18:33" x14ac:dyDescent="0.25">
      <c r="R24"/>
      <c r="S24"/>
      <c r="W24" s="10"/>
      <c r="X24" s="10"/>
      <c r="Z24" s="52" t="s">
        <v>162</v>
      </c>
      <c r="AA24" s="10">
        <f t="shared" si="2"/>
        <v>0</v>
      </c>
      <c r="AB24" s="10">
        <f t="shared" si="3"/>
        <v>0</v>
      </c>
      <c r="AC24" s="10">
        <f t="shared" si="4"/>
        <v>0</v>
      </c>
      <c r="AD24" s="10">
        <f t="shared" si="5"/>
        <v>0</v>
      </c>
      <c r="AE24" s="10">
        <f t="shared" si="6"/>
        <v>0</v>
      </c>
      <c r="AF24" s="10">
        <f t="shared" si="7"/>
        <v>0</v>
      </c>
      <c r="AG24" s="10">
        <f t="shared" si="8"/>
        <v>0</v>
      </c>
    </row>
    <row r="25" spans="18:33" x14ac:dyDescent="0.25">
      <c r="R25"/>
      <c r="S25"/>
      <c r="W25" s="10"/>
      <c r="X25" s="10"/>
      <c r="Z25" s="51" t="s">
        <v>163</v>
      </c>
      <c r="AA25" s="10">
        <f t="shared" si="2"/>
        <v>0</v>
      </c>
      <c r="AB25" s="10">
        <f t="shared" si="3"/>
        <v>0</v>
      </c>
      <c r="AC25" s="10">
        <f t="shared" si="4"/>
        <v>0</v>
      </c>
      <c r="AD25" s="10">
        <f t="shared" si="5"/>
        <v>0</v>
      </c>
      <c r="AE25" s="10">
        <f t="shared" si="6"/>
        <v>0</v>
      </c>
      <c r="AF25" s="10">
        <f t="shared" si="7"/>
        <v>0</v>
      </c>
      <c r="AG25" s="10">
        <f t="shared" si="8"/>
        <v>0</v>
      </c>
    </row>
    <row r="26" spans="18:33" x14ac:dyDescent="0.25">
      <c r="R26"/>
      <c r="S26"/>
      <c r="W26" s="10"/>
      <c r="X26" s="10"/>
      <c r="Z26" s="52" t="s">
        <v>164</v>
      </c>
      <c r="AA26" s="10">
        <f t="shared" si="2"/>
        <v>0</v>
      </c>
      <c r="AB26" s="10">
        <f t="shared" si="3"/>
        <v>0</v>
      </c>
      <c r="AC26" s="10">
        <f t="shared" si="4"/>
        <v>0</v>
      </c>
      <c r="AD26" s="10">
        <f t="shared" si="5"/>
        <v>0</v>
      </c>
      <c r="AE26" s="10">
        <f t="shared" si="6"/>
        <v>0</v>
      </c>
      <c r="AF26" s="10">
        <f t="shared" si="7"/>
        <v>0</v>
      </c>
      <c r="AG26" s="10">
        <f t="shared" si="8"/>
        <v>0</v>
      </c>
    </row>
    <row r="27" spans="18:33" x14ac:dyDescent="0.25">
      <c r="R27"/>
      <c r="S27"/>
      <c r="W27" s="10"/>
      <c r="X27" s="10"/>
      <c r="Z27" t="s">
        <v>323</v>
      </c>
      <c r="AA27" s="10">
        <v>68</v>
      </c>
      <c r="AB27" s="10">
        <v>13.333333333333339</v>
      </c>
      <c r="AC27" s="10">
        <v>83.3333333333333</v>
      </c>
      <c r="AD27" s="10">
        <v>20</v>
      </c>
      <c r="AE27" s="10">
        <v>0</v>
      </c>
      <c r="AF27" s="10">
        <v>0</v>
      </c>
      <c r="AG27" s="10">
        <v>13.333333333333339</v>
      </c>
    </row>
    <row r="28" spans="18:33" x14ac:dyDescent="0.25">
      <c r="R28"/>
      <c r="S28"/>
    </row>
    <row r="29" spans="18:33" x14ac:dyDescent="0.25">
      <c r="R29"/>
      <c r="S29"/>
    </row>
    <row r="30" spans="18:33" x14ac:dyDescent="0.25">
      <c r="R30"/>
      <c r="S30"/>
    </row>
    <row r="31" spans="18:33" x14ac:dyDescent="0.25">
      <c r="R31"/>
      <c r="S31"/>
    </row>
    <row r="32" spans="18:33" x14ac:dyDescent="0.25">
      <c r="R32"/>
      <c r="S32"/>
    </row>
    <row r="33" spans="18:19" x14ac:dyDescent="0.25">
      <c r="R33"/>
      <c r="S33"/>
    </row>
    <row r="34" spans="18:19" x14ac:dyDescent="0.25">
      <c r="R34"/>
      <c r="S34"/>
    </row>
    <row r="35" spans="18:19" x14ac:dyDescent="0.25">
      <c r="R35"/>
      <c r="S35"/>
    </row>
    <row r="36" spans="18:19" x14ac:dyDescent="0.25">
      <c r="R36"/>
      <c r="S36"/>
    </row>
    <row r="37" spans="18:19" x14ac:dyDescent="0.25">
      <c r="R37"/>
      <c r="S37"/>
    </row>
    <row r="38" spans="18:19" x14ac:dyDescent="0.25">
      <c r="R38"/>
      <c r="S38"/>
    </row>
    <row r="39" spans="18:19" x14ac:dyDescent="0.25">
      <c r="R39"/>
      <c r="S39"/>
    </row>
    <row r="40" spans="18:19" x14ac:dyDescent="0.25">
      <c r="R40"/>
      <c r="S40"/>
    </row>
    <row r="41" spans="18:19" x14ac:dyDescent="0.25">
      <c r="R41"/>
      <c r="S41"/>
    </row>
    <row r="42" spans="18:19" x14ac:dyDescent="0.25">
      <c r="R42"/>
      <c r="S42"/>
    </row>
    <row r="43" spans="18:19" x14ac:dyDescent="0.25">
      <c r="R43"/>
      <c r="S43"/>
    </row>
    <row r="44" spans="18:19" x14ac:dyDescent="0.25">
      <c r="R44"/>
      <c r="S44"/>
    </row>
    <row r="45" spans="18:19" x14ac:dyDescent="0.25">
      <c r="R45"/>
      <c r="S45"/>
    </row>
    <row r="46" spans="18:19" x14ac:dyDescent="0.25">
      <c r="R46"/>
      <c r="S46"/>
    </row>
    <row r="47" spans="18:19" x14ac:dyDescent="0.25">
      <c r="R47"/>
      <c r="S47"/>
    </row>
    <row r="48" spans="18:19" x14ac:dyDescent="0.25">
      <c r="R48"/>
      <c r="S48"/>
    </row>
    <row r="49" spans="18:19" x14ac:dyDescent="0.25">
      <c r="R49"/>
      <c r="S49"/>
    </row>
    <row r="50" spans="18:19" x14ac:dyDescent="0.25">
      <c r="R50"/>
      <c r="S50"/>
    </row>
    <row r="51" spans="18:19" x14ac:dyDescent="0.25">
      <c r="R51"/>
      <c r="S51"/>
    </row>
    <row r="52" spans="18:19" x14ac:dyDescent="0.25">
      <c r="R52"/>
      <c r="S52"/>
    </row>
    <row r="53" spans="18:19" x14ac:dyDescent="0.25">
      <c r="R53"/>
      <c r="S53"/>
    </row>
    <row r="54" spans="18:19" x14ac:dyDescent="0.25">
      <c r="R54"/>
      <c r="S54"/>
    </row>
    <row r="55" spans="18:19" x14ac:dyDescent="0.25">
      <c r="R55"/>
      <c r="S55"/>
    </row>
    <row r="56" spans="18:19" x14ac:dyDescent="0.25">
      <c r="R56"/>
      <c r="S56"/>
    </row>
    <row r="57" spans="18:19" x14ac:dyDescent="0.25">
      <c r="R57"/>
      <c r="S57"/>
    </row>
    <row r="58" spans="18:19" x14ac:dyDescent="0.25">
      <c r="R58"/>
      <c r="S58"/>
    </row>
    <row r="59" spans="18:19" x14ac:dyDescent="0.25">
      <c r="R59"/>
      <c r="S59"/>
    </row>
    <row r="60" spans="18:19" x14ac:dyDescent="0.25">
      <c r="R60"/>
      <c r="S60"/>
    </row>
    <row r="61" spans="18:19" x14ac:dyDescent="0.25">
      <c r="R61"/>
      <c r="S61"/>
    </row>
    <row r="62" spans="18:19" x14ac:dyDescent="0.25">
      <c r="R62"/>
      <c r="S62"/>
    </row>
    <row r="63" spans="18:19" x14ac:dyDescent="0.25">
      <c r="R63"/>
      <c r="S63"/>
    </row>
    <row r="64" spans="18:19" x14ac:dyDescent="0.25">
      <c r="R64"/>
      <c r="S64"/>
    </row>
    <row r="65" spans="18:19" x14ac:dyDescent="0.25">
      <c r="R65"/>
      <c r="S65"/>
    </row>
    <row r="66" spans="18:19" x14ac:dyDescent="0.25">
      <c r="R66"/>
      <c r="S66"/>
    </row>
    <row r="67" spans="18:19" x14ac:dyDescent="0.25">
      <c r="R67"/>
      <c r="S67"/>
    </row>
    <row r="68" spans="18:19" x14ac:dyDescent="0.25">
      <c r="R68"/>
      <c r="S68"/>
    </row>
    <row r="69" spans="18:19" x14ac:dyDescent="0.25">
      <c r="R69"/>
      <c r="S69"/>
    </row>
    <row r="70" spans="18:19" x14ac:dyDescent="0.25">
      <c r="R70"/>
      <c r="S70"/>
    </row>
    <row r="71" spans="18:19" x14ac:dyDescent="0.25">
      <c r="R71"/>
      <c r="S71"/>
    </row>
    <row r="72" spans="18:19" x14ac:dyDescent="0.25">
      <c r="R72"/>
      <c r="S72"/>
    </row>
    <row r="73" spans="18:19" x14ac:dyDescent="0.25">
      <c r="R73"/>
      <c r="S73"/>
    </row>
    <row r="74" spans="18:19" x14ac:dyDescent="0.25">
      <c r="R74"/>
      <c r="S74"/>
    </row>
    <row r="75" spans="18:19" x14ac:dyDescent="0.25">
      <c r="R75"/>
      <c r="S75"/>
    </row>
    <row r="76" spans="18:19" x14ac:dyDescent="0.25">
      <c r="R76"/>
      <c r="S76"/>
    </row>
    <row r="77" spans="18:19" x14ac:dyDescent="0.25">
      <c r="R77"/>
      <c r="S77"/>
    </row>
    <row r="78" spans="18:19" x14ac:dyDescent="0.25">
      <c r="R78"/>
      <c r="S78"/>
    </row>
    <row r="79" spans="18:19" x14ac:dyDescent="0.25">
      <c r="R79"/>
      <c r="S79"/>
    </row>
    <row r="80" spans="18:19" x14ac:dyDescent="0.25">
      <c r="R80"/>
      <c r="S80"/>
    </row>
    <row r="81" spans="18:19" x14ac:dyDescent="0.25">
      <c r="R81"/>
      <c r="S81"/>
    </row>
    <row r="82" spans="18:19" x14ac:dyDescent="0.25">
      <c r="R82"/>
      <c r="S82"/>
    </row>
    <row r="83" spans="18:19" x14ac:dyDescent="0.25">
      <c r="R83"/>
      <c r="S83"/>
    </row>
    <row r="84" spans="18:19" x14ac:dyDescent="0.25">
      <c r="R84"/>
      <c r="S84"/>
    </row>
    <row r="85" spans="18:19" x14ac:dyDescent="0.25">
      <c r="R85"/>
      <c r="S85"/>
    </row>
    <row r="86" spans="18:19" x14ac:dyDescent="0.25">
      <c r="R86"/>
      <c r="S86"/>
    </row>
    <row r="87" spans="18:19" x14ac:dyDescent="0.25">
      <c r="R87"/>
      <c r="S87"/>
    </row>
    <row r="88" spans="18:19" x14ac:dyDescent="0.25">
      <c r="R88"/>
      <c r="S88"/>
    </row>
    <row r="89" spans="18:19" x14ac:dyDescent="0.25">
      <c r="R89"/>
      <c r="S89"/>
    </row>
    <row r="90" spans="18:19" x14ac:dyDescent="0.25">
      <c r="R90"/>
      <c r="S90"/>
    </row>
    <row r="91" spans="18:19" x14ac:dyDescent="0.25">
      <c r="R91"/>
      <c r="S91"/>
    </row>
    <row r="92" spans="18:19" x14ac:dyDescent="0.25">
      <c r="R92"/>
      <c r="S92"/>
    </row>
    <row r="93" spans="18:19" x14ac:dyDescent="0.25">
      <c r="R93"/>
      <c r="S93"/>
    </row>
    <row r="94" spans="18:19" x14ac:dyDescent="0.25">
      <c r="R94"/>
      <c r="S94"/>
    </row>
    <row r="95" spans="18:19" x14ac:dyDescent="0.25">
      <c r="R95"/>
      <c r="S95"/>
    </row>
    <row r="96" spans="18:19" x14ac:dyDescent="0.25">
      <c r="R96"/>
      <c r="S96"/>
    </row>
    <row r="97" spans="18:19" x14ac:dyDescent="0.25">
      <c r="R97"/>
      <c r="S97"/>
    </row>
    <row r="98" spans="18:19" x14ac:dyDescent="0.25">
      <c r="R98"/>
      <c r="S98"/>
    </row>
    <row r="99" spans="18:19" x14ac:dyDescent="0.25">
      <c r="R99"/>
      <c r="S99"/>
    </row>
    <row r="100" spans="18:19" x14ac:dyDescent="0.25">
      <c r="R100"/>
      <c r="S100"/>
    </row>
    <row r="101" spans="18:19" x14ac:dyDescent="0.25">
      <c r="R101"/>
      <c r="S101"/>
    </row>
    <row r="102" spans="18:19" x14ac:dyDescent="0.25">
      <c r="R102"/>
      <c r="S102"/>
    </row>
    <row r="103" spans="18:19" x14ac:dyDescent="0.25">
      <c r="R103"/>
      <c r="S103"/>
    </row>
    <row r="104" spans="18:19" x14ac:dyDescent="0.25">
      <c r="R104"/>
      <c r="S104"/>
    </row>
    <row r="105" spans="18:19" x14ac:dyDescent="0.25">
      <c r="R105"/>
      <c r="S105"/>
    </row>
    <row r="106" spans="18:19" x14ac:dyDescent="0.25">
      <c r="R106"/>
      <c r="S106"/>
    </row>
    <row r="107" spans="18:19" x14ac:dyDescent="0.25">
      <c r="R107"/>
      <c r="S107"/>
    </row>
    <row r="108" spans="18:19" x14ac:dyDescent="0.25">
      <c r="R108"/>
      <c r="S108"/>
    </row>
    <row r="109" spans="18:19" x14ac:dyDescent="0.25">
      <c r="R109"/>
      <c r="S109"/>
    </row>
    <row r="110" spans="18:19" x14ac:dyDescent="0.25">
      <c r="R110"/>
      <c r="S110"/>
    </row>
    <row r="111" spans="18:19" x14ac:dyDescent="0.25">
      <c r="R111"/>
      <c r="S111"/>
    </row>
    <row r="112" spans="18:19" x14ac:dyDescent="0.25">
      <c r="R112"/>
      <c r="S112"/>
    </row>
    <row r="113" spans="18:19" x14ac:dyDescent="0.25">
      <c r="R113"/>
      <c r="S113"/>
    </row>
    <row r="114" spans="18:19" x14ac:dyDescent="0.25">
      <c r="R114"/>
      <c r="S114"/>
    </row>
    <row r="115" spans="18:19" x14ac:dyDescent="0.25">
      <c r="R115"/>
      <c r="S115"/>
    </row>
    <row r="116" spans="18:19" x14ac:dyDescent="0.25">
      <c r="R116"/>
      <c r="S116"/>
    </row>
    <row r="117" spans="18:19" x14ac:dyDescent="0.25">
      <c r="R117"/>
      <c r="S117"/>
    </row>
    <row r="118" spans="18:19" x14ac:dyDescent="0.25">
      <c r="R118"/>
      <c r="S118"/>
    </row>
    <row r="119" spans="18:19" x14ac:dyDescent="0.25">
      <c r="R119"/>
      <c r="S119"/>
    </row>
    <row r="120" spans="18:19" x14ac:dyDescent="0.25">
      <c r="R120"/>
      <c r="S120"/>
    </row>
  </sheetData>
  <mergeCells count="2">
    <mergeCell ref="V1:X1"/>
    <mergeCell ref="Z1:AG1"/>
  </mergeCell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76907-F76D-4F87-8443-74849424C077}">
  <sheetPr codeName="Planilha20"/>
  <dimension ref="A1:T38"/>
  <sheetViews>
    <sheetView showGridLines="0" workbookViewId="0">
      <selection activeCell="F26" sqref="F26"/>
    </sheetView>
  </sheetViews>
  <sheetFormatPr defaultColWidth="0" defaultRowHeight="15" x14ac:dyDescent="0.25"/>
  <cols>
    <col min="1" max="20" width="9.140625" customWidth="1"/>
    <col min="21" max="16384" width="9.140625" hidden="1"/>
  </cols>
  <sheetData>
    <row r="1" customFormat="1" ht="39.75" customHeigh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  <row r="8" customFormat="1" x14ac:dyDescent="0.25"/>
    <row r="9" customFormat="1" x14ac:dyDescent="0.25"/>
    <row r="10" customFormat="1" x14ac:dyDescent="0.25"/>
    <row r="11" customFormat="1" x14ac:dyDescent="0.25"/>
    <row r="12" customFormat="1" x14ac:dyDescent="0.25"/>
    <row r="13" customFormat="1" x14ac:dyDescent="0.25"/>
    <row r="14" customFormat="1" x14ac:dyDescent="0.25"/>
    <row r="15" customFormat="1" x14ac:dyDescent="0.25"/>
    <row r="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21ECA-261E-45F7-9BC1-B357588D2331}">
  <sheetPr codeName="Planilha17"/>
  <dimension ref="A1"/>
  <sheetViews>
    <sheetView workbookViewId="0">
      <selection activeCell="A2" sqref="A2:XFD69"/>
    </sheetView>
  </sheetViews>
  <sheetFormatPr defaultRowHeight="15" x14ac:dyDescent="0.25"/>
  <cols>
    <col min="1" max="1" width="21.42578125" customWidth="1"/>
    <col min="2" max="5" width="15.5703125" bestFit="1" customWidth="1"/>
    <col min="6" max="6" width="17.85546875" bestFit="1" customWidth="1"/>
    <col min="7" max="7" width="11.42578125" customWidth="1"/>
    <col min="16" max="16" width="15.5703125" bestFit="1" customWidth="1"/>
    <col min="18" max="18" width="17.5703125" bestFit="1" customWidth="1"/>
    <col min="19" max="19" width="11.7109375" bestFit="1" customWidth="1"/>
    <col min="21" max="21" width="12.5703125" customWidth="1"/>
    <col min="22" max="22" width="11.7109375" customWidth="1"/>
    <col min="23" max="23" width="35" bestFit="1" customWidth="1"/>
    <col min="24" max="24" width="11.7109375" bestFit="1" customWidth="1"/>
    <col min="25" max="25" width="17.140625" customWidth="1"/>
    <col min="26" max="26" width="35" bestFit="1" customWidth="1"/>
    <col min="27" max="28" width="10.140625" bestFit="1" customWidth="1"/>
    <col min="29" max="30" width="11.7109375" bestFit="1" customWidth="1"/>
    <col min="31" max="31" width="9.7109375" bestFit="1" customWidth="1"/>
    <col min="32" max="32" width="13.140625" bestFit="1" customWidth="1"/>
    <col min="33" max="33" width="9.140625" bestFit="1" customWidth="1"/>
  </cols>
  <sheetData>
    <row r="1" ht="38.25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A0C8C-3F30-466D-BE1B-F52DA8D23DBC}">
  <sheetPr codeName="Planilha19"/>
  <dimension ref="A1:T40"/>
  <sheetViews>
    <sheetView showGridLines="0" topLeftCell="A22" workbookViewId="0">
      <selection activeCell="D3" sqref="D3"/>
    </sheetView>
  </sheetViews>
  <sheetFormatPr defaultColWidth="0" defaultRowHeight="15" x14ac:dyDescent="0.25"/>
  <cols>
    <col min="1" max="20" width="9.140625" customWidth="1"/>
    <col min="21" max="16384" width="9.140625" hidden="1"/>
  </cols>
  <sheetData>
    <row r="1" customFormat="1" ht="39.75" customHeigh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  <row r="8" customFormat="1" x14ac:dyDescent="0.25"/>
    <row r="9" customFormat="1" x14ac:dyDescent="0.25"/>
    <row r="10" customFormat="1" x14ac:dyDescent="0.25"/>
    <row r="11" customFormat="1" x14ac:dyDescent="0.25"/>
    <row r="12" customFormat="1" x14ac:dyDescent="0.25"/>
    <row r="13" customFormat="1" x14ac:dyDescent="0.25"/>
    <row r="14" customFormat="1" x14ac:dyDescent="0.25"/>
    <row r="15" customFormat="1" x14ac:dyDescent="0.25"/>
    <row r="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2BEB-4C4E-45A6-A141-577B96A83726}">
  <sheetPr codeName="Planilha16">
    <pageSetUpPr fitToPage="1"/>
  </sheetPr>
  <dimension ref="A1:AA8"/>
  <sheetViews>
    <sheetView showGridLines="0" workbookViewId="0">
      <selection activeCell="A7" sqref="A7"/>
    </sheetView>
  </sheetViews>
  <sheetFormatPr defaultRowHeight="15" x14ac:dyDescent="0.25"/>
  <cols>
    <col min="1" max="1" width="18.140625" style="44" bestFit="1" customWidth="1"/>
    <col min="2" max="2" width="15.85546875" style="44" bestFit="1" customWidth="1"/>
    <col min="3" max="3" width="11.42578125" style="44" bestFit="1" customWidth="1"/>
    <col min="4" max="4" width="11.28515625" style="44" customWidth="1"/>
    <col min="5" max="5" width="16.42578125" style="10" customWidth="1"/>
    <col min="6" max="6" width="18" style="10" bestFit="1" customWidth="1"/>
    <col min="7" max="7" width="15.42578125" style="10" bestFit="1" customWidth="1"/>
    <col min="8" max="8" width="11.7109375" style="10" bestFit="1" customWidth="1"/>
    <col min="9" max="9" width="11.85546875" style="10" bestFit="1" customWidth="1"/>
    <col min="10" max="10" width="17.85546875" style="10" bestFit="1" customWidth="1"/>
    <col min="11" max="11" width="18" style="10" bestFit="1" customWidth="1"/>
    <col min="12" max="12" width="10.28515625" style="10" bestFit="1" customWidth="1"/>
    <col min="13" max="13" width="8.85546875" style="10" bestFit="1" customWidth="1"/>
    <col min="14" max="14" width="18.140625" style="44" bestFit="1" customWidth="1"/>
    <col min="15" max="15" width="7.42578125" style="44" bestFit="1" customWidth="1"/>
    <col min="16" max="16" width="10" style="44" bestFit="1" customWidth="1"/>
    <col min="17" max="17" width="17.28515625" style="44" bestFit="1" customWidth="1"/>
    <col min="18" max="18" width="15" style="44" bestFit="1" customWidth="1"/>
    <col min="19" max="19" width="7.5703125" customWidth="1"/>
    <col min="20" max="21" width="13.5703125" style="19" bestFit="1" customWidth="1"/>
    <col min="22" max="22" width="12.28515625" style="19" customWidth="1"/>
    <col min="23" max="23" width="13.140625" style="19" customWidth="1"/>
    <col min="24" max="24" width="11.28515625" style="19" customWidth="1"/>
    <col min="25" max="25" width="7.5703125" style="19" customWidth="1"/>
    <col min="26" max="30" width="7.5703125" customWidth="1"/>
  </cols>
  <sheetData>
    <row r="1" spans="1:27" ht="36" customHeight="1" thickBot="1" x14ac:dyDescent="0.4">
      <c r="A1" s="60" t="s">
        <v>117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17"/>
      <c r="S1" s="17"/>
      <c r="T1" s="42"/>
      <c r="U1" s="42"/>
      <c r="V1" s="42"/>
      <c r="W1" s="42"/>
      <c r="X1" s="42"/>
      <c r="Y1" s="42"/>
      <c r="Z1" s="17"/>
      <c r="AA1" s="17"/>
    </row>
    <row r="2" spans="1:27" x14ac:dyDescent="0.25">
      <c r="A2"/>
      <c r="B2" s="14"/>
      <c r="C2" s="14"/>
      <c r="D2" s="14"/>
      <c r="L2" s="25"/>
      <c r="N2"/>
      <c r="O2" s="15"/>
      <c r="P2" s="15"/>
      <c r="Q2" s="19"/>
      <c r="R2" s="19"/>
      <c r="S2" s="19"/>
      <c r="T2" s="29" t="s">
        <v>90</v>
      </c>
      <c r="U2" s="29" t="s">
        <v>90</v>
      </c>
      <c r="V2" s="29" t="s">
        <v>111</v>
      </c>
      <c r="W2" s="29" t="s">
        <v>88</v>
      </c>
      <c r="X2" s="29" t="s">
        <v>103</v>
      </c>
      <c r="Y2" s="29" t="s">
        <v>113</v>
      </c>
      <c r="Z2" s="15"/>
      <c r="AA2" s="15"/>
    </row>
    <row r="3" spans="1:27" x14ac:dyDescent="0.25">
      <c r="A3" s="13" t="s">
        <v>105</v>
      </c>
      <c r="B3" s="64"/>
      <c r="C3" s="64"/>
      <c r="D3" s="64"/>
      <c r="E3" s="24"/>
      <c r="L3" s="25"/>
      <c r="N3"/>
      <c r="O3" s="15"/>
      <c r="P3" s="15"/>
      <c r="Q3" s="19"/>
      <c r="R3" s="19"/>
      <c r="S3" s="19"/>
      <c r="T3" s="30" t="str">
        <f>"&gt;="&amp;IF($B$2="",0,$B$2)</f>
        <v>&gt;=0</v>
      </c>
      <c r="U3" s="30" t="str">
        <f>"&lt;="&amp;IF($D$2="",999999,$D$2)</f>
        <v>&lt;=999999</v>
      </c>
      <c r="V3" s="30" t="str">
        <f>IF($B$3&lt;&gt;"",$B$3,"")</f>
        <v/>
      </c>
      <c r="W3" s="30" t="str">
        <f>IF($B$4&lt;&gt;"",$B$4,"")</f>
        <v/>
      </c>
      <c r="X3" s="30" t="str">
        <f>IF($B$5&lt;&gt;"",$B$5,"")</f>
        <v/>
      </c>
      <c r="Y3" s="30" t="str">
        <f>IF($B$6&lt;&gt;"",$B$6,"")</f>
        <v/>
      </c>
      <c r="Z3" s="15"/>
      <c r="AA3" s="15"/>
    </row>
    <row r="4" spans="1:27" x14ac:dyDescent="0.25">
      <c r="A4" s="13" t="s">
        <v>106</v>
      </c>
      <c r="B4" s="63"/>
      <c r="C4" s="63"/>
      <c r="D4" s="63"/>
      <c r="E4" s="24"/>
      <c r="F4" s="39"/>
      <c r="G4" s="25"/>
      <c r="H4" s="38"/>
      <c r="I4" s="38"/>
      <c r="J4" s="38"/>
      <c r="K4" s="38"/>
      <c r="L4" s="25"/>
      <c r="M4" s="25"/>
      <c r="N4" s="15"/>
      <c r="O4" s="15"/>
      <c r="P4" s="15"/>
      <c r="Q4" s="19"/>
      <c r="R4" s="19"/>
      <c r="S4" s="19"/>
      <c r="Z4" s="15"/>
      <c r="AA4" s="15"/>
    </row>
    <row r="5" spans="1:27" x14ac:dyDescent="0.25">
      <c r="A5" s="16" t="s">
        <v>108</v>
      </c>
      <c r="B5" s="63"/>
      <c r="C5" s="63"/>
      <c r="D5" s="13" t="s">
        <v>120</v>
      </c>
      <c r="E5" s="26"/>
      <c r="F5" s="40"/>
      <c r="G5" s="25"/>
      <c r="H5" s="25"/>
      <c r="I5" s="25"/>
      <c r="J5" s="25"/>
      <c r="K5" s="25"/>
      <c r="L5" s="25"/>
      <c r="M5" s="25"/>
      <c r="N5" s="15"/>
      <c r="O5" s="15"/>
      <c r="P5" s="15"/>
      <c r="Q5" s="15"/>
      <c r="R5" s="15"/>
      <c r="S5" s="15"/>
      <c r="Z5" s="15"/>
      <c r="AA5" s="15"/>
    </row>
    <row r="6" spans="1:27" x14ac:dyDescent="0.25">
      <c r="A6" s="16" t="s">
        <v>118</v>
      </c>
      <c r="B6" s="63"/>
      <c r="C6" s="63"/>
      <c r="D6" t="s">
        <v>119</v>
      </c>
      <c r="E6" s="27"/>
      <c r="F6" s="41"/>
      <c r="G6" s="32"/>
      <c r="H6" s="32"/>
      <c r="I6" s="32"/>
      <c r="J6" s="32"/>
      <c r="K6" s="32"/>
      <c r="L6" s="32"/>
      <c r="M6" s="25"/>
      <c r="N6" s="15"/>
      <c r="O6" s="15"/>
      <c r="P6" s="15"/>
      <c r="Q6" s="15"/>
      <c r="R6" s="15"/>
      <c r="S6" s="15"/>
      <c r="Z6" s="15"/>
      <c r="AA6" s="15"/>
    </row>
    <row r="7" spans="1:27" x14ac:dyDescent="0.25">
      <c r="A7" s="11" t="s">
        <v>111</v>
      </c>
      <c r="B7" s="20" t="s">
        <v>53</v>
      </c>
      <c r="C7" s="20" t="s">
        <v>114</v>
      </c>
      <c r="D7" s="11" t="s">
        <v>90</v>
      </c>
      <c r="E7" s="9" t="s">
        <v>123</v>
      </c>
      <c r="F7" s="9" t="s">
        <v>64</v>
      </c>
      <c r="G7" s="9" t="s">
        <v>67</v>
      </c>
      <c r="H7" s="9" t="s">
        <v>68</v>
      </c>
      <c r="I7" s="9" t="s">
        <v>124</v>
      </c>
      <c r="J7" s="9" t="s">
        <v>102</v>
      </c>
      <c r="K7" s="9" t="s">
        <v>122</v>
      </c>
      <c r="L7" s="9" t="s">
        <v>69</v>
      </c>
      <c r="M7" s="9" t="s">
        <v>70</v>
      </c>
      <c r="N7" s="20" t="s">
        <v>112</v>
      </c>
      <c r="O7" s="20" t="s">
        <v>113</v>
      </c>
      <c r="P7" s="20" t="s">
        <v>103</v>
      </c>
      <c r="Q7" s="20" t="s">
        <v>116</v>
      </c>
      <c r="R7" s="20" t="s">
        <v>88</v>
      </c>
    </row>
    <row r="8" spans="1:27" x14ac:dyDescent="0.25">
      <c r="A8" s="44" t="s">
        <v>144</v>
      </c>
      <c r="B8" s="44">
        <v>2</v>
      </c>
      <c r="D8" s="1" t="s">
        <v>308</v>
      </c>
      <c r="E8" s="21">
        <v>101</v>
      </c>
      <c r="F8" s="21">
        <v>0</v>
      </c>
      <c r="G8" s="21">
        <v>0</v>
      </c>
      <c r="H8" s="21">
        <v>0</v>
      </c>
      <c r="I8" s="21">
        <v>10</v>
      </c>
      <c r="J8" s="21">
        <v>0</v>
      </c>
      <c r="K8" s="21">
        <v>0</v>
      </c>
      <c r="L8" s="21">
        <v>0</v>
      </c>
      <c r="M8" s="21">
        <v>111</v>
      </c>
      <c r="N8" s="1">
        <v>44255</v>
      </c>
      <c r="O8" s="44" t="s">
        <v>115</v>
      </c>
      <c r="P8" s="44" t="s">
        <v>312</v>
      </c>
      <c r="Q8" s="1">
        <v>44255</v>
      </c>
      <c r="R8" s="44" t="s">
        <v>291</v>
      </c>
    </row>
  </sheetData>
  <autoFilter ref="A7:R7" xr:uid="{C95772F8-18E7-462B-894B-ABCB978B33DD}"/>
  <mergeCells count="5">
    <mergeCell ref="B6:C6"/>
    <mergeCell ref="B3:D3"/>
    <mergeCell ref="B4:D4"/>
    <mergeCell ref="B5:C5"/>
    <mergeCell ref="A1:Q1"/>
  </mergeCells>
  <dataValidations count="2">
    <dataValidation type="list" allowBlank="1" showInputMessage="1" showErrorMessage="1" sqref="B1:D3" xr:uid="{39782F89-B37C-432B-AFFE-87B9F1F2E8F3}">
      <formula1>Perito</formula1>
    </dataValidation>
    <dataValidation type="list" allowBlank="1" showInputMessage="1" showErrorMessage="1" sqref="B4:D4" xr:uid="{25DB3407-7F0D-4200-9F5E-7DF0E25AB25E}">
      <formula1>Seguradora</formula1>
    </dataValidation>
  </dataValidations>
  <pageMargins left="0.511811024" right="0.511811024" top="0.78740157499999996" bottom="0.78740157499999996" header="0.31496062000000002" footer="0.31496062000000002"/>
  <pageSetup paperSize="9" scale="53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632F7-3B96-49A4-AECF-4412229E2C60}">
  <sheetPr codeName="Planilha18"/>
  <dimension ref="A1:AA10"/>
  <sheetViews>
    <sheetView showGridLines="0" workbookViewId="0">
      <selection activeCell="A7" sqref="A7"/>
    </sheetView>
  </sheetViews>
  <sheetFormatPr defaultRowHeight="15" x14ac:dyDescent="0.25"/>
  <cols>
    <col min="1" max="1" width="18.140625" style="44" bestFit="1" customWidth="1"/>
    <col min="2" max="2" width="15.85546875" style="44" bestFit="1" customWidth="1"/>
    <col min="3" max="3" width="11.42578125" style="44" bestFit="1" customWidth="1"/>
    <col min="4" max="4" width="10.7109375" style="44" bestFit="1" customWidth="1"/>
    <col min="5" max="5" width="14.28515625" style="10" bestFit="1" customWidth="1"/>
    <col min="6" max="6" width="18" style="10" bestFit="1" customWidth="1"/>
    <col min="7" max="7" width="15.42578125" style="10" bestFit="1" customWidth="1"/>
    <col min="8" max="8" width="11.7109375" style="10" bestFit="1" customWidth="1"/>
    <col min="9" max="9" width="11.85546875" style="10" bestFit="1" customWidth="1"/>
    <col min="10" max="10" width="12.28515625" style="10" bestFit="1" customWidth="1"/>
    <col min="11" max="11" width="18.5703125" style="10" bestFit="1" customWidth="1"/>
    <col min="12" max="12" width="19.140625" style="10" bestFit="1" customWidth="1"/>
    <col min="13" max="13" width="11.140625" style="10" bestFit="1" customWidth="1"/>
    <col min="14" max="14" width="18.140625" style="44" bestFit="1" customWidth="1"/>
    <col min="15" max="15" width="7.42578125" style="44" bestFit="1" customWidth="1"/>
    <col min="16" max="16" width="10" style="44" bestFit="1" customWidth="1"/>
    <col min="17" max="17" width="17.28515625" style="44" bestFit="1" customWidth="1"/>
    <col min="18" max="18" width="15" style="44" bestFit="1" customWidth="1"/>
    <col min="19" max="30" width="7.5703125" customWidth="1"/>
  </cols>
  <sheetData>
    <row r="1" spans="1:27" ht="36" customHeight="1" thickBot="1" x14ac:dyDescent="0.4">
      <c r="A1" s="60" t="s">
        <v>126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x14ac:dyDescent="0.25">
      <c r="A2"/>
      <c r="B2" s="14"/>
      <c r="C2" s="12"/>
      <c r="D2" s="14"/>
      <c r="F2" s="28" t="s">
        <v>90</v>
      </c>
      <c r="G2" s="28" t="s">
        <v>90</v>
      </c>
      <c r="H2" s="29" t="s">
        <v>111</v>
      </c>
      <c r="I2" s="29" t="s">
        <v>88</v>
      </c>
      <c r="J2" s="29" t="s">
        <v>103</v>
      </c>
      <c r="K2" s="29" t="s">
        <v>113</v>
      </c>
      <c r="L2" s="32"/>
      <c r="M2" s="32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15"/>
      <c r="AA2" s="15"/>
    </row>
    <row r="3" spans="1:27" x14ac:dyDescent="0.25">
      <c r="A3" s="13" t="s">
        <v>105</v>
      </c>
      <c r="B3" s="64"/>
      <c r="C3" s="64"/>
      <c r="D3" s="64"/>
      <c r="E3" s="24"/>
      <c r="F3" s="30" t="str">
        <f>"&gt;="&amp;IF($B$2="",0,$B$2)</f>
        <v>&gt;=0</v>
      </c>
      <c r="G3" s="30" t="str">
        <f>"&lt;="&amp;IF($D$2="",99999,$D$2)</f>
        <v>&lt;=99999</v>
      </c>
      <c r="H3" s="30" t="str">
        <f>IF($B$3&lt;&gt;"",$B$3,"")</f>
        <v/>
      </c>
      <c r="I3" s="30" t="str">
        <f>IF($B$4&lt;&gt;"",$B$4,"")</f>
        <v/>
      </c>
      <c r="J3" s="30" t="str">
        <f>IF($B$5&lt;&gt;"",$B$5,"")</f>
        <v/>
      </c>
      <c r="K3" s="30" t="str">
        <f>IF($B$6&lt;&gt;"",$B$6,"")</f>
        <v/>
      </c>
      <c r="L3" s="32"/>
      <c r="M3" s="32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15"/>
      <c r="AA3" s="15"/>
    </row>
    <row r="4" spans="1:27" x14ac:dyDescent="0.25">
      <c r="A4" s="13" t="s">
        <v>106</v>
      </c>
      <c r="B4" s="63"/>
      <c r="C4" s="63"/>
      <c r="D4" s="63"/>
      <c r="E4" s="24"/>
      <c r="F4" s="33"/>
      <c r="G4" s="32"/>
      <c r="H4" s="34"/>
      <c r="I4" s="34"/>
      <c r="J4" s="34"/>
      <c r="K4" s="34"/>
      <c r="L4" s="32"/>
      <c r="M4" s="32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15"/>
      <c r="AA4" s="15"/>
    </row>
    <row r="5" spans="1:27" x14ac:dyDescent="0.25">
      <c r="A5" s="16" t="s">
        <v>108</v>
      </c>
      <c r="B5" s="63"/>
      <c r="C5" s="63"/>
      <c r="D5" s="13" t="s">
        <v>120</v>
      </c>
      <c r="E5" s="26"/>
      <c r="F5" s="35"/>
      <c r="G5" s="32"/>
      <c r="H5" s="32"/>
      <c r="I5" s="32"/>
      <c r="J5" s="32"/>
      <c r="K5" s="32"/>
      <c r="L5" s="32"/>
      <c r="M5" s="32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15"/>
      <c r="AA5" s="15"/>
    </row>
    <row r="6" spans="1:27" x14ac:dyDescent="0.25">
      <c r="A6" s="16" t="s">
        <v>118</v>
      </c>
      <c r="B6" s="63"/>
      <c r="C6" s="63"/>
      <c r="D6" t="s">
        <v>119</v>
      </c>
      <c r="E6" s="27"/>
      <c r="F6" s="36"/>
      <c r="G6" s="32"/>
      <c r="H6" s="32"/>
      <c r="I6" s="32"/>
      <c r="J6" s="32"/>
      <c r="K6" s="32"/>
      <c r="L6" s="32"/>
      <c r="M6" s="2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</row>
    <row r="7" spans="1:27" x14ac:dyDescent="0.25">
      <c r="A7" s="22" t="s">
        <v>111</v>
      </c>
      <c r="B7" s="20" t="s">
        <v>53</v>
      </c>
      <c r="C7" s="20" t="s">
        <v>114</v>
      </c>
      <c r="D7" s="11" t="s">
        <v>90</v>
      </c>
      <c r="E7" s="11" t="s">
        <v>62</v>
      </c>
      <c r="F7" s="11" t="s">
        <v>64</v>
      </c>
      <c r="G7" s="11" t="s">
        <v>67</v>
      </c>
      <c r="H7" s="11" t="s">
        <v>68</v>
      </c>
      <c r="I7" s="11" t="s">
        <v>52</v>
      </c>
      <c r="J7" s="11" t="s">
        <v>102</v>
      </c>
      <c r="K7" s="11" t="s">
        <v>127</v>
      </c>
      <c r="L7" s="11" t="s">
        <v>69</v>
      </c>
      <c r="M7" s="11" t="s">
        <v>70</v>
      </c>
      <c r="N7" s="11" t="s">
        <v>112</v>
      </c>
      <c r="O7" s="11" t="s">
        <v>113</v>
      </c>
      <c r="P7" s="11" t="s">
        <v>103</v>
      </c>
      <c r="Q7" s="11" t="s">
        <v>87</v>
      </c>
      <c r="R7" s="23" t="s">
        <v>88</v>
      </c>
    </row>
    <row r="8" spans="1:27" x14ac:dyDescent="0.25">
      <c r="A8" s="44" t="s">
        <v>144</v>
      </c>
      <c r="B8" s="44">
        <v>2</v>
      </c>
      <c r="D8" s="37" t="s">
        <v>308</v>
      </c>
      <c r="E8" s="21">
        <v>202</v>
      </c>
      <c r="F8" s="21">
        <v>0</v>
      </c>
      <c r="G8" s="21">
        <v>0</v>
      </c>
      <c r="H8" s="21">
        <v>0</v>
      </c>
      <c r="I8" s="21">
        <v>10</v>
      </c>
      <c r="J8" s="21">
        <v>0</v>
      </c>
      <c r="K8" s="21">
        <v>0</v>
      </c>
      <c r="L8" s="21">
        <v>0</v>
      </c>
      <c r="M8" s="21">
        <v>212</v>
      </c>
      <c r="N8" s="1">
        <v>44255</v>
      </c>
      <c r="O8" s="44" t="s">
        <v>115</v>
      </c>
      <c r="P8" s="44" t="s">
        <v>104</v>
      </c>
      <c r="Q8" s="1">
        <v>44258</v>
      </c>
      <c r="R8" s="44" t="s">
        <v>291</v>
      </c>
    </row>
    <row r="9" spans="1:27" x14ac:dyDescent="0.25">
      <c r="A9" s="44" t="s">
        <v>141</v>
      </c>
      <c r="B9" s="44">
        <v>4</v>
      </c>
      <c r="D9" s="37" t="s">
        <v>281</v>
      </c>
      <c r="E9" s="21">
        <v>200</v>
      </c>
      <c r="F9" s="21">
        <v>12</v>
      </c>
      <c r="G9" s="21">
        <v>10</v>
      </c>
      <c r="H9" s="21">
        <v>0</v>
      </c>
      <c r="I9" s="21"/>
      <c r="J9" s="21"/>
      <c r="K9" s="21"/>
      <c r="L9" s="21">
        <v>10</v>
      </c>
      <c r="M9" s="21">
        <v>244</v>
      </c>
      <c r="N9" s="1">
        <v>44255</v>
      </c>
      <c r="O9" s="44" t="s">
        <v>125</v>
      </c>
      <c r="P9" s="44" t="s">
        <v>104</v>
      </c>
      <c r="Q9" s="1">
        <v>44258</v>
      </c>
      <c r="R9" s="44" t="s">
        <v>286</v>
      </c>
    </row>
    <row r="10" spans="1:27" x14ac:dyDescent="0.25">
      <c r="A10" s="44" t="s">
        <v>144</v>
      </c>
      <c r="B10" s="44">
        <v>3</v>
      </c>
      <c r="D10" s="37" t="s">
        <v>306</v>
      </c>
      <c r="E10" s="21">
        <v>203</v>
      </c>
      <c r="F10" s="21">
        <v>13</v>
      </c>
      <c r="G10" s="21">
        <v>0</v>
      </c>
      <c r="H10" s="21">
        <v>0</v>
      </c>
      <c r="I10" s="21"/>
      <c r="J10" s="21"/>
      <c r="K10" s="21"/>
      <c r="L10" s="21">
        <v>0</v>
      </c>
      <c r="M10" s="21">
        <v>229</v>
      </c>
      <c r="N10" s="1">
        <v>44255</v>
      </c>
      <c r="O10" s="44" t="s">
        <v>125</v>
      </c>
      <c r="P10" s="44" t="s">
        <v>312</v>
      </c>
      <c r="Q10" s="1">
        <v>44258</v>
      </c>
      <c r="R10" s="44" t="s">
        <v>285</v>
      </c>
    </row>
  </sheetData>
  <autoFilter ref="A7:R7" xr:uid="{F1190A43-5E1B-4D50-B7C1-F717B524179C}"/>
  <mergeCells count="5">
    <mergeCell ref="A1:Q1"/>
    <mergeCell ref="B3:D3"/>
    <mergeCell ref="B4:D4"/>
    <mergeCell ref="B5:C5"/>
    <mergeCell ref="B6:C6"/>
  </mergeCells>
  <dataValidations count="2">
    <dataValidation type="list" allowBlank="1" showInputMessage="1" showErrorMessage="1" sqref="B4:D4" xr:uid="{2A990274-720B-43B2-8EF8-4B3906A0509F}">
      <formula1>Seguradora</formula1>
    </dataValidation>
    <dataValidation type="list" allowBlank="1" showInputMessage="1" showErrorMessage="1" sqref="B1:D3" xr:uid="{E6E5D0D1-8C15-4B04-BF09-F71B3FE8E892}">
      <formula1>Perito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96795-EF80-4BFE-993A-C8838502E2C6}">
  <sheetPr codeName="Planilha1"/>
  <dimension ref="A1:F16"/>
  <sheetViews>
    <sheetView topLeftCell="B1" workbookViewId="0">
      <selection activeCell="B2" sqref="B2:B16"/>
    </sheetView>
  </sheetViews>
  <sheetFormatPr defaultRowHeight="15" x14ac:dyDescent="0.25"/>
  <cols>
    <col min="1" max="1" width="22" customWidth="1"/>
    <col min="2" max="2" width="31.140625" style="47" bestFit="1" customWidth="1"/>
    <col min="3" max="3" width="73.85546875" bestFit="1" customWidth="1"/>
    <col min="4" max="6" width="22" customWidth="1"/>
  </cols>
  <sheetData>
    <row r="1" spans="1:6" ht="30" customHeight="1" x14ac:dyDescent="0.25">
      <c r="A1" t="s">
        <v>0</v>
      </c>
      <c r="B1" s="47" t="s">
        <v>93</v>
      </c>
      <c r="C1" t="s">
        <v>97</v>
      </c>
      <c r="D1" t="s">
        <v>83</v>
      </c>
      <c r="E1" t="s">
        <v>98</v>
      </c>
      <c r="F1" t="s">
        <v>99</v>
      </c>
    </row>
    <row r="2" spans="1:6" x14ac:dyDescent="0.25">
      <c r="A2" t="s">
        <v>129</v>
      </c>
      <c r="B2" s="47" t="s">
        <v>285</v>
      </c>
      <c r="C2" t="s">
        <v>270</v>
      </c>
      <c r="D2" s="21">
        <v>1.3</v>
      </c>
      <c r="E2" s="21">
        <v>50</v>
      </c>
      <c r="F2" s="21">
        <v>150</v>
      </c>
    </row>
    <row r="3" spans="1:6" x14ac:dyDescent="0.25">
      <c r="A3" s="44" t="s">
        <v>260</v>
      </c>
      <c r="B3" s="47" t="s">
        <v>286</v>
      </c>
      <c r="C3" s="44" t="s">
        <v>271</v>
      </c>
      <c r="D3" s="21">
        <v>1.2</v>
      </c>
      <c r="E3" s="21">
        <v>0</v>
      </c>
      <c r="F3" s="21">
        <v>180</v>
      </c>
    </row>
    <row r="4" spans="1:6" x14ac:dyDescent="0.25">
      <c r="A4" s="44" t="s">
        <v>261</v>
      </c>
      <c r="B4" s="47" t="s">
        <v>287</v>
      </c>
      <c r="C4" s="44" t="s">
        <v>272</v>
      </c>
      <c r="D4" s="21">
        <v>1.2</v>
      </c>
      <c r="E4" s="21">
        <v>60</v>
      </c>
      <c r="F4" s="21">
        <v>150</v>
      </c>
    </row>
    <row r="5" spans="1:6" x14ac:dyDescent="0.25">
      <c r="A5" s="44" t="s">
        <v>128</v>
      </c>
      <c r="B5" s="47" t="s">
        <v>288</v>
      </c>
      <c r="C5" s="44" t="s">
        <v>273</v>
      </c>
      <c r="D5" s="21">
        <v>0</v>
      </c>
      <c r="E5" s="21">
        <v>50</v>
      </c>
      <c r="F5" s="21">
        <v>120</v>
      </c>
    </row>
    <row r="6" spans="1:6" x14ac:dyDescent="0.25">
      <c r="A6" s="44" t="s">
        <v>262</v>
      </c>
      <c r="B6" s="47" t="s">
        <v>289</v>
      </c>
      <c r="C6" s="44" t="s">
        <v>274</v>
      </c>
      <c r="D6" s="21">
        <v>0</v>
      </c>
      <c r="E6" s="21">
        <v>70</v>
      </c>
      <c r="F6" s="21">
        <v>200</v>
      </c>
    </row>
    <row r="7" spans="1:6" x14ac:dyDescent="0.25">
      <c r="A7" s="44" t="s">
        <v>263</v>
      </c>
      <c r="B7" s="47" t="s">
        <v>290</v>
      </c>
      <c r="C7" s="44" t="s">
        <v>275</v>
      </c>
      <c r="D7" s="21">
        <v>0</v>
      </c>
      <c r="E7" s="21">
        <v>60</v>
      </c>
      <c r="F7" s="21">
        <v>150</v>
      </c>
    </row>
    <row r="8" spans="1:6" x14ac:dyDescent="0.25">
      <c r="A8" s="44" t="s">
        <v>264</v>
      </c>
      <c r="B8" s="47" t="s">
        <v>291</v>
      </c>
      <c r="C8" s="44" t="s">
        <v>276</v>
      </c>
      <c r="D8" s="21">
        <v>0</v>
      </c>
      <c r="E8" s="21">
        <v>0</v>
      </c>
      <c r="F8" s="21">
        <v>120</v>
      </c>
    </row>
    <row r="9" spans="1:6" x14ac:dyDescent="0.25">
      <c r="A9" s="44" t="s">
        <v>265</v>
      </c>
      <c r="B9" s="47" t="s">
        <v>301</v>
      </c>
      <c r="C9" s="44" t="s">
        <v>270</v>
      </c>
      <c r="D9" s="21">
        <v>1.2</v>
      </c>
      <c r="E9" s="21">
        <v>80</v>
      </c>
      <c r="F9" s="21">
        <v>160</v>
      </c>
    </row>
    <row r="10" spans="1:6" x14ac:dyDescent="0.25">
      <c r="A10" s="44" t="s">
        <v>265</v>
      </c>
      <c r="B10" s="47" t="s">
        <v>292</v>
      </c>
      <c r="C10" s="44" t="s">
        <v>270</v>
      </c>
      <c r="D10" s="21">
        <v>1.2</v>
      </c>
      <c r="E10" s="21">
        <v>70</v>
      </c>
      <c r="F10" s="21">
        <v>150</v>
      </c>
    </row>
    <row r="11" spans="1:6" x14ac:dyDescent="0.25">
      <c r="A11" s="44" t="s">
        <v>265</v>
      </c>
      <c r="B11" s="47" t="s">
        <v>293</v>
      </c>
      <c r="C11" s="44" t="s">
        <v>270</v>
      </c>
      <c r="D11" s="21">
        <v>1.25</v>
      </c>
      <c r="E11" s="21">
        <v>80</v>
      </c>
      <c r="F11" s="21">
        <v>160</v>
      </c>
    </row>
    <row r="12" spans="1:6" x14ac:dyDescent="0.25">
      <c r="A12" s="44" t="s">
        <v>266</v>
      </c>
      <c r="B12" s="47" t="s">
        <v>294</v>
      </c>
      <c r="C12" s="44" t="s">
        <v>277</v>
      </c>
      <c r="D12" s="21">
        <v>0</v>
      </c>
      <c r="E12" s="21">
        <v>70</v>
      </c>
      <c r="F12" s="21">
        <v>150</v>
      </c>
    </row>
    <row r="13" spans="1:6" x14ac:dyDescent="0.25">
      <c r="A13" s="44" t="s">
        <v>267</v>
      </c>
      <c r="B13" s="47" t="s">
        <v>295</v>
      </c>
      <c r="C13" s="44" t="s">
        <v>278</v>
      </c>
      <c r="D13" s="21">
        <v>1.5</v>
      </c>
      <c r="E13" s="21">
        <v>35</v>
      </c>
      <c r="F13" s="21">
        <v>0</v>
      </c>
    </row>
    <row r="14" spans="1:6" x14ac:dyDescent="0.25">
      <c r="A14" s="44" t="s">
        <v>265</v>
      </c>
      <c r="B14" s="47" t="s">
        <v>296</v>
      </c>
      <c r="C14" s="44" t="s">
        <v>270</v>
      </c>
      <c r="D14" s="21">
        <v>1.1000000000000001</v>
      </c>
      <c r="E14" s="21">
        <v>50</v>
      </c>
      <c r="F14" s="21">
        <v>120</v>
      </c>
    </row>
    <row r="15" spans="1:6" x14ac:dyDescent="0.25">
      <c r="A15" s="44" t="s">
        <v>268</v>
      </c>
      <c r="B15" s="47" t="s">
        <v>297</v>
      </c>
      <c r="C15" s="44" t="s">
        <v>279</v>
      </c>
      <c r="D15" s="21">
        <v>0</v>
      </c>
      <c r="E15" s="21">
        <v>0</v>
      </c>
      <c r="F15" s="21">
        <v>0</v>
      </c>
    </row>
    <row r="16" spans="1:6" x14ac:dyDescent="0.25">
      <c r="A16" s="44" t="s">
        <v>269</v>
      </c>
      <c r="B16" s="47" t="s">
        <v>298</v>
      </c>
      <c r="C16" s="44" t="s">
        <v>280</v>
      </c>
      <c r="D16" s="21">
        <v>0</v>
      </c>
      <c r="E16" s="21">
        <v>0</v>
      </c>
      <c r="F16" s="21">
        <v>120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F381-704A-44E3-8A76-D2E21AC5CAFD}">
  <sheetPr codeName="Planilha7"/>
  <dimension ref="A1:E25"/>
  <sheetViews>
    <sheetView workbookViewId="0">
      <selection activeCell="A2" sqref="A2:A25"/>
    </sheetView>
  </sheetViews>
  <sheetFormatPr defaultRowHeight="15" x14ac:dyDescent="0.25"/>
  <cols>
    <col min="1" max="1" width="35.85546875" style="47" customWidth="1"/>
    <col min="2" max="2" width="31" customWidth="1"/>
    <col min="3" max="3" width="15.42578125" customWidth="1"/>
    <col min="4" max="4" width="15.85546875" customWidth="1"/>
    <col min="5" max="5" width="13" customWidth="1"/>
  </cols>
  <sheetData>
    <row r="1" spans="1:5" s="4" customFormat="1" ht="30" customHeight="1" x14ac:dyDescent="0.25">
      <c r="A1" s="48" t="s">
        <v>93</v>
      </c>
      <c r="B1" s="43" t="s">
        <v>94</v>
      </c>
      <c r="C1" s="43" t="s">
        <v>95</v>
      </c>
      <c r="D1" s="43" t="s">
        <v>96</v>
      </c>
      <c r="E1" s="43" t="s">
        <v>71</v>
      </c>
    </row>
    <row r="2" spans="1:5" x14ac:dyDescent="0.25">
      <c r="A2" s="47" t="s">
        <v>141</v>
      </c>
      <c r="B2" t="s">
        <v>165</v>
      </c>
      <c r="C2" t="s">
        <v>189</v>
      </c>
      <c r="D2" t="s">
        <v>213</v>
      </c>
      <c r="E2" t="s">
        <v>236</v>
      </c>
    </row>
    <row r="3" spans="1:5" x14ac:dyDescent="0.25">
      <c r="A3" s="47" t="s">
        <v>142</v>
      </c>
      <c r="B3" t="s">
        <v>166</v>
      </c>
      <c r="C3" t="s">
        <v>190</v>
      </c>
      <c r="D3" t="s">
        <v>214</v>
      </c>
      <c r="E3" t="s">
        <v>237</v>
      </c>
    </row>
    <row r="4" spans="1:5" x14ac:dyDescent="0.25">
      <c r="A4" s="47" t="s">
        <v>143</v>
      </c>
      <c r="B4" t="s">
        <v>167</v>
      </c>
      <c r="C4" t="s">
        <v>191</v>
      </c>
      <c r="D4" t="s">
        <v>215</v>
      </c>
      <c r="E4" t="s">
        <v>238</v>
      </c>
    </row>
    <row r="5" spans="1:5" x14ac:dyDescent="0.25">
      <c r="A5" s="47" t="s">
        <v>144</v>
      </c>
      <c r="B5" t="s">
        <v>168</v>
      </c>
      <c r="C5" t="s">
        <v>192</v>
      </c>
      <c r="D5" t="s">
        <v>216</v>
      </c>
      <c r="E5" t="s">
        <v>239</v>
      </c>
    </row>
    <row r="6" spans="1:5" x14ac:dyDescent="0.25">
      <c r="A6" s="47" t="s">
        <v>145</v>
      </c>
      <c r="B6" t="s">
        <v>169</v>
      </c>
      <c r="C6" t="s">
        <v>193</v>
      </c>
      <c r="D6" t="s">
        <v>217</v>
      </c>
      <c r="E6" t="s">
        <v>240</v>
      </c>
    </row>
    <row r="7" spans="1:5" x14ac:dyDescent="0.25">
      <c r="A7" s="47" t="s">
        <v>146</v>
      </c>
      <c r="B7" t="s">
        <v>170</v>
      </c>
      <c r="C7" t="s">
        <v>194</v>
      </c>
      <c r="D7" t="s">
        <v>218</v>
      </c>
      <c r="E7" t="s">
        <v>241</v>
      </c>
    </row>
    <row r="8" spans="1:5" x14ac:dyDescent="0.25">
      <c r="A8" s="47" t="s">
        <v>147</v>
      </c>
      <c r="B8" t="s">
        <v>171</v>
      </c>
      <c r="C8" t="s">
        <v>195</v>
      </c>
      <c r="D8" t="s">
        <v>219</v>
      </c>
      <c r="E8" t="s">
        <v>242</v>
      </c>
    </row>
    <row r="9" spans="1:5" x14ac:dyDescent="0.25">
      <c r="A9" s="47" t="s">
        <v>148</v>
      </c>
      <c r="B9" t="s">
        <v>172</v>
      </c>
      <c r="C9" t="s">
        <v>196</v>
      </c>
      <c r="D9" t="s">
        <v>220</v>
      </c>
      <c r="E9" t="s">
        <v>243</v>
      </c>
    </row>
    <row r="10" spans="1:5" x14ac:dyDescent="0.25">
      <c r="A10" s="47" t="s">
        <v>149</v>
      </c>
      <c r="B10" t="s">
        <v>173</v>
      </c>
      <c r="C10" t="s">
        <v>197</v>
      </c>
      <c r="D10" t="s">
        <v>221</v>
      </c>
      <c r="E10" t="s">
        <v>244</v>
      </c>
    </row>
    <row r="11" spans="1:5" x14ac:dyDescent="0.25">
      <c r="A11" s="47" t="s">
        <v>150</v>
      </c>
      <c r="B11" t="s">
        <v>174</v>
      </c>
      <c r="C11" t="s">
        <v>198</v>
      </c>
      <c r="D11" t="s">
        <v>222</v>
      </c>
      <c r="E11" t="s">
        <v>245</v>
      </c>
    </row>
    <row r="12" spans="1:5" x14ac:dyDescent="0.25">
      <c r="A12" s="47" t="s">
        <v>151</v>
      </c>
      <c r="B12" t="s">
        <v>175</v>
      </c>
      <c r="C12" t="s">
        <v>199</v>
      </c>
      <c r="D12" t="s">
        <v>223</v>
      </c>
      <c r="E12" t="s">
        <v>246</v>
      </c>
    </row>
    <row r="13" spans="1:5" x14ac:dyDescent="0.25">
      <c r="A13" s="47" t="s">
        <v>152</v>
      </c>
      <c r="B13" t="s">
        <v>176</v>
      </c>
      <c r="C13" t="s">
        <v>200</v>
      </c>
      <c r="D13" t="s">
        <v>224</v>
      </c>
      <c r="E13" t="s">
        <v>247</v>
      </c>
    </row>
    <row r="14" spans="1:5" x14ac:dyDescent="0.25">
      <c r="A14" s="47" t="s">
        <v>153</v>
      </c>
      <c r="B14" t="s">
        <v>177</v>
      </c>
      <c r="C14" t="s">
        <v>201</v>
      </c>
      <c r="D14" t="s">
        <v>225</v>
      </c>
      <c r="E14" t="s">
        <v>248</v>
      </c>
    </row>
    <row r="15" spans="1:5" x14ac:dyDescent="0.25">
      <c r="A15" s="47" t="s">
        <v>154</v>
      </c>
      <c r="B15" t="s">
        <v>178</v>
      </c>
      <c r="C15" t="s">
        <v>202</v>
      </c>
      <c r="D15" t="s">
        <v>226</v>
      </c>
      <c r="E15" t="s">
        <v>249</v>
      </c>
    </row>
    <row r="16" spans="1:5" x14ac:dyDescent="0.25">
      <c r="A16" s="47" t="s">
        <v>155</v>
      </c>
      <c r="B16" t="s">
        <v>179</v>
      </c>
      <c r="C16" t="s">
        <v>203</v>
      </c>
      <c r="D16" t="s">
        <v>227</v>
      </c>
      <c r="E16" t="s">
        <v>250</v>
      </c>
    </row>
    <row r="17" spans="1:5" x14ac:dyDescent="0.25">
      <c r="A17" s="47" t="s">
        <v>156</v>
      </c>
      <c r="B17" t="s">
        <v>180</v>
      </c>
      <c r="C17" t="s">
        <v>204</v>
      </c>
      <c r="D17" t="s">
        <v>228</v>
      </c>
      <c r="E17" t="s">
        <v>251</v>
      </c>
    </row>
    <row r="18" spans="1:5" x14ac:dyDescent="0.25">
      <c r="A18" s="47" t="s">
        <v>157</v>
      </c>
      <c r="B18" t="s">
        <v>181</v>
      </c>
      <c r="C18" t="s">
        <v>205</v>
      </c>
      <c r="D18" t="s">
        <v>229</v>
      </c>
      <c r="E18" t="s">
        <v>252</v>
      </c>
    </row>
    <row r="19" spans="1:5" x14ac:dyDescent="0.25">
      <c r="A19" s="47" t="s">
        <v>158</v>
      </c>
      <c r="B19" t="s">
        <v>182</v>
      </c>
      <c r="C19" t="s">
        <v>206</v>
      </c>
      <c r="D19" t="s">
        <v>230</v>
      </c>
      <c r="E19" t="s">
        <v>253</v>
      </c>
    </row>
    <row r="20" spans="1:5" x14ac:dyDescent="0.25">
      <c r="A20" s="47" t="s">
        <v>159</v>
      </c>
      <c r="B20" t="s">
        <v>183</v>
      </c>
      <c r="C20" t="s">
        <v>207</v>
      </c>
      <c r="D20" t="s">
        <v>231</v>
      </c>
      <c r="E20" t="s">
        <v>254</v>
      </c>
    </row>
    <row r="21" spans="1:5" x14ac:dyDescent="0.25">
      <c r="A21" s="47" t="s">
        <v>160</v>
      </c>
      <c r="B21" t="s">
        <v>184</v>
      </c>
      <c r="C21" t="s">
        <v>208</v>
      </c>
      <c r="D21" t="s">
        <v>232</v>
      </c>
      <c r="E21" t="s">
        <v>255</v>
      </c>
    </row>
    <row r="22" spans="1:5" x14ac:dyDescent="0.25">
      <c r="A22" s="47" t="s">
        <v>161</v>
      </c>
      <c r="B22" t="s">
        <v>185</v>
      </c>
      <c r="C22" t="s">
        <v>209</v>
      </c>
      <c r="D22" t="s">
        <v>233</v>
      </c>
      <c r="E22" t="s">
        <v>256</v>
      </c>
    </row>
    <row r="23" spans="1:5" x14ac:dyDescent="0.25">
      <c r="A23" s="47" t="s">
        <v>162</v>
      </c>
      <c r="B23" t="s">
        <v>186</v>
      </c>
      <c r="C23" t="s">
        <v>210</v>
      </c>
      <c r="D23" t="s">
        <v>234</v>
      </c>
      <c r="E23" t="s">
        <v>257</v>
      </c>
    </row>
    <row r="24" spans="1:5" x14ac:dyDescent="0.25">
      <c r="A24" s="47" t="s">
        <v>163</v>
      </c>
      <c r="B24" t="s">
        <v>187</v>
      </c>
      <c r="C24" t="s">
        <v>211</v>
      </c>
      <c r="D24" t="s">
        <v>235</v>
      </c>
      <c r="E24" t="s">
        <v>258</v>
      </c>
    </row>
    <row r="25" spans="1:5" x14ac:dyDescent="0.25">
      <c r="A25" s="47" t="s">
        <v>164</v>
      </c>
      <c r="B25" t="s">
        <v>188</v>
      </c>
      <c r="C25" t="s">
        <v>212</v>
      </c>
      <c r="D25" t="s">
        <v>233</v>
      </c>
      <c r="E25" t="s">
        <v>259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E30C3-871B-48B6-8049-A5622F3C9F82}">
  <sheetPr codeName="Planilha4"/>
  <dimension ref="A1:A15"/>
  <sheetViews>
    <sheetView workbookViewId="0">
      <selection activeCell="D23" sqref="D23"/>
    </sheetView>
  </sheetViews>
  <sheetFormatPr defaultRowHeight="15" x14ac:dyDescent="0.25"/>
  <cols>
    <col min="1" max="1" width="19.140625" bestFit="1" customWidth="1"/>
  </cols>
  <sheetData>
    <row r="1" spans="1:1" x14ac:dyDescent="0.25">
      <c r="A1" t="s">
        <v>28</v>
      </c>
    </row>
    <row r="2" spans="1:1" x14ac:dyDescent="0.25">
      <c r="A2" t="s">
        <v>29</v>
      </c>
    </row>
    <row r="3" spans="1:1" x14ac:dyDescent="0.25">
      <c r="A3" t="s">
        <v>30</v>
      </c>
    </row>
    <row r="4" spans="1:1" x14ac:dyDescent="0.25">
      <c r="A4" t="s">
        <v>31</v>
      </c>
    </row>
    <row r="5" spans="1:1" x14ac:dyDescent="0.25">
      <c r="A5" t="s">
        <v>32</v>
      </c>
    </row>
    <row r="6" spans="1:1" x14ac:dyDescent="0.25">
      <c r="A6" t="s">
        <v>33</v>
      </c>
    </row>
    <row r="7" spans="1:1" x14ac:dyDescent="0.25">
      <c r="A7" t="s">
        <v>34</v>
      </c>
    </row>
    <row r="8" spans="1:1" x14ac:dyDescent="0.25">
      <c r="A8" t="s">
        <v>35</v>
      </c>
    </row>
    <row r="9" spans="1:1" x14ac:dyDescent="0.25">
      <c r="A9" t="s">
        <v>36</v>
      </c>
    </row>
    <row r="10" spans="1:1" x14ac:dyDescent="0.25">
      <c r="A10" t="s">
        <v>37</v>
      </c>
    </row>
    <row r="11" spans="1:1" x14ac:dyDescent="0.25">
      <c r="A11" t="s">
        <v>38</v>
      </c>
    </row>
    <row r="12" spans="1:1" x14ac:dyDescent="0.25">
      <c r="A12" t="s">
        <v>39</v>
      </c>
    </row>
    <row r="13" spans="1:1" x14ac:dyDescent="0.25">
      <c r="A13" t="s">
        <v>40</v>
      </c>
    </row>
    <row r="14" spans="1:1" x14ac:dyDescent="0.25">
      <c r="A14" t="s">
        <v>41</v>
      </c>
    </row>
    <row r="15" spans="1:1" x14ac:dyDescent="0.25">
      <c r="A15" t="s">
        <v>42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3456D-521E-492B-A5F1-C37BBBBFE734}">
  <sheetPr codeName="Planilha11"/>
  <dimension ref="A1:A2"/>
  <sheetViews>
    <sheetView workbookViewId="0">
      <selection activeCell="G13" sqref="G13"/>
    </sheetView>
  </sheetViews>
  <sheetFormatPr defaultRowHeight="15" x14ac:dyDescent="0.25"/>
  <sheetData>
    <row r="1" spans="1:1" x14ac:dyDescent="0.25">
      <c r="A1" t="s">
        <v>85</v>
      </c>
    </row>
    <row r="2" spans="1:1" x14ac:dyDescent="0.25">
      <c r="A2" t="s">
        <v>86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FCD9B-E781-4532-8BE9-0B5D05F465CA}">
  <sheetPr codeName="Planilha9"/>
  <dimension ref="A1:A3"/>
  <sheetViews>
    <sheetView workbookViewId="0">
      <selection activeCell="D23" sqref="D23"/>
    </sheetView>
  </sheetViews>
  <sheetFormatPr defaultRowHeight="15" x14ac:dyDescent="0.25"/>
  <sheetData>
    <row r="1" spans="1:1" x14ac:dyDescent="0.25">
      <c r="A1" t="s">
        <v>78</v>
      </c>
    </row>
    <row r="2" spans="1:1" x14ac:dyDescent="0.25">
      <c r="A2" t="s">
        <v>79</v>
      </c>
    </row>
    <row r="3" spans="1:1" x14ac:dyDescent="0.25">
      <c r="A3" t="s">
        <v>80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4D918-1642-4193-AEE0-097308E29E52}">
  <sheetPr codeName="Planilha8"/>
  <dimension ref="A1:A4"/>
  <sheetViews>
    <sheetView workbookViewId="0">
      <selection activeCell="G8" sqref="G8"/>
    </sheetView>
  </sheetViews>
  <sheetFormatPr defaultRowHeight="15" x14ac:dyDescent="0.25"/>
  <cols>
    <col min="1" max="1" width="15" customWidth="1"/>
  </cols>
  <sheetData>
    <row r="1" spans="1:1" x14ac:dyDescent="0.25">
      <c r="A1" t="s">
        <v>72</v>
      </c>
    </row>
    <row r="2" spans="1:1" x14ac:dyDescent="0.25">
      <c r="A2" t="s">
        <v>73</v>
      </c>
    </row>
    <row r="3" spans="1:1" x14ac:dyDescent="0.25">
      <c r="A3" t="s">
        <v>74</v>
      </c>
    </row>
    <row r="4" spans="1:1" x14ac:dyDescent="0.25">
      <c r="A4" t="s">
        <v>75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BAB43-BCD4-44CA-9201-7FEB3AF6BD41}">
  <sheetPr codeName="Planilha10"/>
  <dimension ref="A1:A7"/>
  <sheetViews>
    <sheetView workbookViewId="0">
      <selection activeCell="A7" sqref="A7"/>
    </sheetView>
  </sheetViews>
  <sheetFormatPr defaultRowHeight="15" x14ac:dyDescent="0.25"/>
  <cols>
    <col min="1" max="1" width="12.140625" customWidth="1"/>
  </cols>
  <sheetData>
    <row r="1" spans="1:1" x14ac:dyDescent="0.25">
      <c r="A1" t="s">
        <v>76</v>
      </c>
    </row>
    <row r="2" spans="1:1" x14ac:dyDescent="0.25">
      <c r="A2" t="s">
        <v>84</v>
      </c>
    </row>
    <row r="3" spans="1:1" x14ac:dyDescent="0.25">
      <c r="A3" t="s">
        <v>77</v>
      </c>
    </row>
    <row r="4" spans="1:1" x14ac:dyDescent="0.25">
      <c r="A4" t="s">
        <v>79</v>
      </c>
    </row>
    <row r="5" spans="1:1" x14ac:dyDescent="0.25">
      <c r="A5" t="s">
        <v>80</v>
      </c>
    </row>
    <row r="6" spans="1:1" x14ac:dyDescent="0.25">
      <c r="A6" t="s">
        <v>81</v>
      </c>
    </row>
    <row r="7" spans="1:1" x14ac:dyDescent="0.25">
      <c r="A7" t="s">
        <v>82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1F616-0D7A-4D25-9DEB-80CD2395FEC0}">
  <sheetPr codeName="Planilha3"/>
  <dimension ref="A1:A27"/>
  <sheetViews>
    <sheetView topLeftCell="A19" workbookViewId="0">
      <selection activeCell="D23" sqref="D23"/>
    </sheetView>
  </sheetViews>
  <sheetFormatPr defaultRowHeight="15" x14ac:dyDescent="0.25"/>
  <sheetData>
    <row r="1" spans="1:1" x14ac:dyDescent="0.25">
      <c r="A1" t="s">
        <v>16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  <row r="14" spans="1:1" x14ac:dyDescent="0.25">
      <c r="A14" t="s">
        <v>13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17</v>
      </c>
    </row>
    <row r="18" spans="1:1" x14ac:dyDescent="0.25">
      <c r="A18" t="s">
        <v>18</v>
      </c>
    </row>
    <row r="19" spans="1:1" x14ac:dyDescent="0.25">
      <c r="A19" t="s">
        <v>19</v>
      </c>
    </row>
    <row r="20" spans="1:1" x14ac:dyDescent="0.25">
      <c r="A20" t="s">
        <v>20</v>
      </c>
    </row>
    <row r="21" spans="1:1" x14ac:dyDescent="0.25">
      <c r="A21" t="s">
        <v>21</v>
      </c>
    </row>
    <row r="22" spans="1:1" x14ac:dyDescent="0.25">
      <c r="A22" t="s">
        <v>22</v>
      </c>
    </row>
    <row r="23" spans="1:1" x14ac:dyDescent="0.25">
      <c r="A23" t="s">
        <v>23</v>
      </c>
    </row>
    <row r="24" spans="1:1" x14ac:dyDescent="0.25">
      <c r="A24" t="s">
        <v>24</v>
      </c>
    </row>
    <row r="25" spans="1:1" x14ac:dyDescent="0.25">
      <c r="A25" t="s">
        <v>25</v>
      </c>
    </row>
    <row r="26" spans="1:1" x14ac:dyDescent="0.25">
      <c r="A26" t="s">
        <v>26</v>
      </c>
    </row>
    <row r="27" spans="1:1" x14ac:dyDescent="0.25">
      <c r="A27" t="s">
        <v>27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0BF70D-FC3E-46FD-B944-A1A63284E5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20</vt:i4>
      </vt:variant>
      <vt:variant>
        <vt:lpstr>Intervalos Nomeados</vt:lpstr>
      </vt:variant>
      <vt:variant>
        <vt:i4>16</vt:i4>
      </vt:variant>
    </vt:vector>
  </HeadingPairs>
  <TitlesOfParts>
    <vt:vector size="36" baseType="lpstr">
      <vt:lpstr>Inicial</vt:lpstr>
      <vt:lpstr>Vistoria</vt:lpstr>
      <vt:lpstr>CadPenhor</vt:lpstr>
      <vt:lpstr>CadPericia</vt:lpstr>
      <vt:lpstr>ContasApagar</vt:lpstr>
      <vt:lpstr>ContasAreceber</vt:lpstr>
      <vt:lpstr>TbDinamicaReceber</vt:lpstr>
      <vt:lpstr>DashboardAReceber</vt:lpstr>
      <vt:lpstr>TbDinamicaApagar</vt:lpstr>
      <vt:lpstr>DashboardApagar</vt:lpstr>
      <vt:lpstr>RelContasApagar</vt:lpstr>
      <vt:lpstr>RelContasAReceber</vt:lpstr>
      <vt:lpstr>CadSeguradora</vt:lpstr>
      <vt:lpstr>CadPerito</vt:lpstr>
      <vt:lpstr>Cidades</vt:lpstr>
      <vt:lpstr>Cultura</vt:lpstr>
      <vt:lpstr>Sinistro</vt:lpstr>
      <vt:lpstr>TipoBenSeg</vt:lpstr>
      <vt:lpstr>TipoVistoria</vt:lpstr>
      <vt:lpstr>Estados</vt:lpstr>
      <vt:lpstr>RelContasApagar!Area_de_extracao</vt:lpstr>
      <vt:lpstr>RelContasAReceber!Area_de_extracao</vt:lpstr>
      <vt:lpstr>cidades</vt:lpstr>
      <vt:lpstr>Inicial!Criterios</vt:lpstr>
      <vt:lpstr>RelContasApagar!Criterios</vt:lpstr>
      <vt:lpstr>RelContasAReceber!Criterios</vt:lpstr>
      <vt:lpstr>Vistoria!Criterios</vt:lpstr>
      <vt:lpstr>Cultura</vt:lpstr>
      <vt:lpstr>Perito</vt:lpstr>
      <vt:lpstr>SeguradoPenhor</vt:lpstr>
      <vt:lpstr>SeguradoPericia</vt:lpstr>
      <vt:lpstr>Seguradora</vt:lpstr>
      <vt:lpstr>TipoBen</vt:lpstr>
      <vt:lpstr>TipoServicos</vt:lpstr>
      <vt:lpstr>TipoVistoria</vt:lpstr>
      <vt:lpstr>uf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</dc:creator>
  <cp:lastModifiedBy>Vinicius</cp:lastModifiedBy>
  <cp:lastPrinted>2021-02-19T17:23:00Z</cp:lastPrinted>
  <dcterms:created xsi:type="dcterms:W3CDTF">2021-01-16T20:15:46Z</dcterms:created>
  <dcterms:modified xsi:type="dcterms:W3CDTF">2021-03-05T04:51:22Z</dcterms:modified>
</cp:coreProperties>
</file>