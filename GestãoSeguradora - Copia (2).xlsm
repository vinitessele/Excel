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B97032BB-53C8-4B16-BEFB-271ABDED17B7}" xr6:coauthVersionLast="46" xr6:coauthVersionMax="46" xr10:uidLastSave="{00000000-0000-0000-0000-000000000000}"/>
  <bookViews>
    <workbookView xWindow="-120" yWindow="-120" windowWidth="20730" windowHeight="11160" firstSheet="2" activeTab="3" xr2:uid="{E0D4B125-8ABE-41E3-AD67-A9BA722874B8}"/>
  </bookViews>
  <sheets>
    <sheet name="Inicial" sheetId="2" r:id="rId1"/>
    <sheet name="ContasApagar" sheetId="16" r:id="rId2"/>
    <sheet name="TbDinamicaApagar" sheetId="24" r:id="rId3"/>
    <sheet name="DashboardApagar" sheetId="21" r:id="rId4"/>
    <sheet name="ContasAreceber" sheetId="17" r:id="rId5"/>
    <sheet name="DashboardAReceber" sheetId="22" r:id="rId6"/>
    <sheet name="TbDinamicaReceber" sheetId="23" r:id="rId7"/>
    <sheet name="RelContasApagar" sheetId="18" r:id="rId8"/>
    <sheet name="RelContasAReceber" sheetId="20" r:id="rId9"/>
    <sheet name="CadPenhor" sheetId="5" r:id="rId10"/>
    <sheet name="CadPericia" sheetId="6" r:id="rId11"/>
    <sheet name="RelPericiaPerito" sheetId="13" r:id="rId12"/>
    <sheet name="RelPenhoPerito" sheetId="15" r:id="rId13"/>
    <sheet name="CadSeguradora" sheetId="1" r:id="rId14"/>
    <sheet name="CadPerito" sheetId="7" r:id="rId15"/>
    <sheet name="Cidades" sheetId="4" r:id="rId16"/>
    <sheet name="Cultura" sheetId="11" r:id="rId17"/>
    <sheet name="Sinistro" sheetId="10" r:id="rId18"/>
    <sheet name="TipoBenSeg" sheetId="8" r:id="rId19"/>
    <sheet name="TipoVistoria" sheetId="9" r:id="rId20"/>
    <sheet name="Estados" sheetId="3" r:id="rId21"/>
  </sheets>
  <definedNames>
    <definedName name="_xlnm._FilterDatabase" localSheetId="9" hidden="1">CadPenhor!$A$1:$Z$23</definedName>
    <definedName name="_xlnm._FilterDatabase" localSheetId="10" hidden="1">CadPericia!$A$1:$AD$13</definedName>
    <definedName name="_xlnm._FilterDatabase" localSheetId="1" hidden="1">ContasApagar!$A$1:$R$10</definedName>
    <definedName name="_xlnm._FilterDatabase" localSheetId="4" hidden="1">ContasAreceber!$A$1:$R$10</definedName>
    <definedName name="_xlnm._FilterDatabase" localSheetId="7" hidden="1">RelContasApagar!$A$7:$R$7</definedName>
    <definedName name="_xlnm.Extract" localSheetId="7">RelContasApagar!$A$7:$R$7</definedName>
    <definedName name="_xlnm.Extract" localSheetId="8">RelContasAReceber!$A$7:$R$7</definedName>
    <definedName name="_xlnm.Extract" localSheetId="12">RelPenhoPerito!$A$6:$Z$6</definedName>
    <definedName name="_xlnm.Extract" localSheetId="11">RelPericiaPerito!$A$6:$AD$6</definedName>
    <definedName name="cidades">Cidades!$A:$A</definedName>
    <definedName name="_xlnm.Criteria" localSheetId="7">RelContasApagar!$F$2:$K$3</definedName>
    <definedName name="_xlnm.Criteria" localSheetId="8">RelContasAReceber!$F$2:$K$3</definedName>
    <definedName name="_xlnm.Criteria" localSheetId="12">RelPenhoPerito!$AB$2:$AF$3</definedName>
    <definedName name="_xlnm.Criteria" localSheetId="11">RelPericiaPerito!$J$2:$N$3</definedName>
    <definedName name="Cultura">Cultura!$A:$A</definedName>
    <definedName name="NativeTimeline_DT_VISTORIA">#N/A</definedName>
    <definedName name="NativeTimeline_DT_VISTORIA1">#N/A</definedName>
    <definedName name="NativeTimeline_DT_VISTORIA2">#N/A</definedName>
    <definedName name="Perito">CadPerito!$A:$A</definedName>
    <definedName name="SegmentaçãodeDados_PERITO">#N/A</definedName>
    <definedName name="SegmentaçãodeDados_PERITO1">#N/A</definedName>
    <definedName name="SegmentaçãodeDados_SEGURADORA">#N/A</definedName>
    <definedName name="SegmentaçãodeDados_SEGURADORA1">#N/A</definedName>
    <definedName name="SegmentaçãodeDados_STATUS">#N/A</definedName>
    <definedName name="SegmentaçãodeDados_STATUS1">#N/A</definedName>
    <definedName name="SegmentaçãodeDados_TIPO">#N/A</definedName>
    <definedName name="SegmentaçãodeDados_TIPO1">#N/A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2"/>
    <pivotCache cacheId="19" r:id="rId23"/>
  </pivotCaches>
  <extLst>
    <ext xmlns:x14="http://schemas.microsoft.com/office/spreadsheetml/2009/9/main" uri="{BBE1A952-AA13-448e-AADC-164F8A28A991}">
      <x14:slicerCaches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2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" i="24" l="1"/>
  <c r="S4" i="24"/>
  <c r="S5" i="24"/>
  <c r="S6" i="24"/>
  <c r="S7" i="24"/>
  <c r="S8" i="24"/>
  <c r="S9" i="24"/>
  <c r="S3" i="24"/>
  <c r="V4" i="24"/>
  <c r="S4" i="23"/>
  <c r="S5" i="23"/>
  <c r="S6" i="23"/>
  <c r="S7" i="23"/>
  <c r="S8" i="23"/>
  <c r="S9" i="23"/>
  <c r="V4" i="23"/>
  <c r="V3" i="23"/>
  <c r="S3" i="23"/>
  <c r="K3" i="20"/>
  <c r="J3" i="20"/>
  <c r="I3" i="20"/>
  <c r="H3" i="20"/>
  <c r="G3" i="20"/>
  <c r="F3" i="20"/>
  <c r="I3" i="18"/>
  <c r="H3" i="18"/>
  <c r="G3" i="18"/>
  <c r="K3" i="18"/>
  <c r="J3" i="18"/>
  <c r="F3" i="18"/>
  <c r="N3" i="13"/>
  <c r="AD3" i="15"/>
  <c r="AF3" i="15"/>
  <c r="AE3" i="15"/>
  <c r="AC3" i="15"/>
  <c r="AB3" i="15"/>
  <c r="M3" i="13"/>
  <c r="L3" i="13"/>
  <c r="K3" i="13"/>
  <c r="J3" i="13"/>
</calcChain>
</file>

<file path=xl/sharedStrings.xml><?xml version="1.0" encoding="utf-8"?>
<sst xmlns="http://schemas.openxmlformats.org/spreadsheetml/2006/main" count="1039" uniqueCount="241">
  <si>
    <t>CNPJ</t>
  </si>
  <si>
    <t>www</t>
  </si>
  <si>
    <t>teste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</si>
  <si>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</si>
  <si>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</si>
  <si>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</si>
  <si>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</si>
  <si>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</si>
  <si>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</si>
  <si>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</si>
  <si>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</si>
  <si>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</si>
  <si>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</si>
  <si>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</si>
  <si>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</si>
  <si>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</si>
  <si>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</si>
  <si>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</si>
  <si>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</si>
  <si>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</si>
  <si>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</si>
  <si>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</si>
  <si>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</si>
  <si>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</si>
  <si>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</si>
  <si>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</si>
  <si>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</si>
  <si>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</si>
  <si>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</si>
  <si>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</si>
  <si>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</si>
  <si>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</si>
  <si>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</si>
  <si>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</si>
  <si>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</si>
  <si>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</si>
  <si>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</si>
  <si>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</si>
  <si>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</si>
  <si>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</si>
  <si>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</si>
  <si>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</si>
  <si>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</si>
  <si>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</si>
  <si>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</si>
  <si>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</si>
  <si>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</si>
  <si>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</si>
  <si>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</si>
  <si>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</si>
  <si>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</si>
  <si>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</si>
  <si>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</si>
  <si>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</si>
  <si>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 HONORÁRIO R$  </t>
  </si>
  <si>
    <t xml:space="preserve"> KM  </t>
  </si>
  <si>
    <t xml:space="preserve"> PEDÁGIO </t>
  </si>
  <si>
    <t xml:space="preserve"> HOTEL </t>
  </si>
  <si>
    <t xml:space="preserve"> REFEIÇÃO </t>
  </si>
  <si>
    <t xml:space="preserve"> ALUGUEL CARRO </t>
  </si>
  <si>
    <t xml:space="preserve"> OUTROS </t>
  </si>
  <si>
    <t xml:space="preserve">  TOTAL  </t>
  </si>
  <si>
    <t>rr</t>
  </si>
  <si>
    <t>f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</si>
  <si>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</si>
  <si>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</si>
  <si>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</si>
  <si>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</si>
  <si>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</si>
  <si>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</si>
  <si>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</si>
  <si>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</si>
  <si>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</si>
  <si>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</si>
  <si>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</si>
  <si>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</si>
  <si>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</si>
  <si>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</si>
  <si>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</si>
  <si>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</si>
  <si>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</si>
  <si>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</si>
  <si>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eeee</t>
  </si>
  <si>
    <t>ee</t>
  </si>
  <si>
    <t>sd</t>
  </si>
  <si>
    <t>Mario</t>
  </si>
  <si>
    <t>Seca</t>
  </si>
  <si>
    <t>ww</t>
  </si>
  <si>
    <t>Pedro antonio</t>
  </si>
  <si>
    <t>Jose</t>
  </si>
  <si>
    <t>Chuva de pedras</t>
  </si>
  <si>
    <t>Marcilio</t>
  </si>
  <si>
    <t>30/01/2021</t>
  </si>
  <si>
    <t>soja</t>
  </si>
  <si>
    <t>Pedro Silva</t>
  </si>
  <si>
    <t>milho</t>
  </si>
  <si>
    <t>CPF</t>
  </si>
  <si>
    <t>76.302.157/0001-33</t>
  </si>
  <si>
    <t>Rua dos padres</t>
  </si>
  <si>
    <t>Vinicius</t>
  </si>
  <si>
    <t xml:space="preserve">Rua Carlos dall agnolo </t>
  </si>
  <si>
    <t>(44) 99916-8055</t>
  </si>
  <si>
    <t>Maquinas</t>
  </si>
  <si>
    <t>Equipamentos</t>
  </si>
  <si>
    <t>Benfeitorias</t>
  </si>
  <si>
    <t>Produto Colhido</t>
  </si>
  <si>
    <t xml:space="preserve">José </t>
  </si>
  <si>
    <t>Maria</t>
  </si>
  <si>
    <t>chuvas granizo</t>
  </si>
  <si>
    <t>seca</t>
  </si>
  <si>
    <t>Porto seguro</t>
  </si>
  <si>
    <t>Itau</t>
  </si>
  <si>
    <t>Banco do Brasil</t>
  </si>
  <si>
    <t>Bradesco</t>
  </si>
  <si>
    <t>Banco do Brasl</t>
  </si>
  <si>
    <t>Liberty</t>
  </si>
  <si>
    <t>Cleiton</t>
  </si>
  <si>
    <t>Marcos</t>
  </si>
  <si>
    <t>Preliminar</t>
  </si>
  <si>
    <t>Final</t>
  </si>
  <si>
    <t>Sinistro</t>
  </si>
  <si>
    <t>Monitoramento</t>
  </si>
  <si>
    <t>Prévia</t>
  </si>
  <si>
    <t>BABI</t>
  </si>
  <si>
    <t>Flavio</t>
  </si>
  <si>
    <t>sorgo</t>
  </si>
  <si>
    <t>maria</t>
  </si>
  <si>
    <t>Aveia</t>
  </si>
  <si>
    <t>teste para observacao</t>
  </si>
  <si>
    <t>Paulo</t>
  </si>
  <si>
    <t>Agravamento</t>
  </si>
  <si>
    <t>Revistoria</t>
  </si>
  <si>
    <t>teste monitoramente</t>
  </si>
  <si>
    <t>Camila</t>
  </si>
  <si>
    <t>26/01/2021</t>
  </si>
  <si>
    <t>76.302.157/0001-31</t>
  </si>
  <si>
    <t>76.302.157/0001-34</t>
  </si>
  <si>
    <t>76.302.157/0001-35</t>
  </si>
  <si>
    <t>rua das palmas</t>
  </si>
  <si>
    <t>27/01/2020</t>
  </si>
  <si>
    <t>Clodoaldo</t>
  </si>
  <si>
    <t>Incendio</t>
  </si>
  <si>
    <t>Marilda</t>
  </si>
  <si>
    <t>incendio</t>
  </si>
  <si>
    <t>27/01/2021</t>
  </si>
  <si>
    <t>Roubo</t>
  </si>
  <si>
    <t>KM R$</t>
  </si>
  <si>
    <t>Preliminar/Final</t>
  </si>
  <si>
    <t>rua ral</t>
  </si>
  <si>
    <t>Rua das flores</t>
  </si>
  <si>
    <t>Pedro</t>
  </si>
  <si>
    <t>29/01/2021</t>
  </si>
  <si>
    <t>Jessica</t>
  </si>
  <si>
    <t xml:space="preserve">Soja </t>
  </si>
  <si>
    <t>Milho</t>
  </si>
  <si>
    <t>Seca geada</t>
  </si>
  <si>
    <t>Seca e geada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</si>
  <si>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</si>
  <si>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</si>
  <si>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</si>
  <si>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</si>
  <si>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</si>
  <si>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</si>
  <si>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</si>
  <si>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</si>
  <si>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</si>
  <si>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</si>
  <si>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</si>
  <si>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</si>
  <si>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</si>
  <si>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</si>
  <si>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</si>
  <si>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Teste</t>
  </si>
  <si>
    <t>Tina Taner</t>
  </si>
  <si>
    <t>22/02/2021</t>
  </si>
  <si>
    <t>Priscila</t>
  </si>
  <si>
    <t>150,00</t>
  </si>
  <si>
    <t>PASSAGEM ÁERA</t>
  </si>
  <si>
    <t>STATUS</t>
  </si>
  <si>
    <t>Aberto</t>
  </si>
  <si>
    <t>Liquidado</t>
  </si>
  <si>
    <t>Até</t>
  </si>
  <si>
    <t>Período:</t>
  </si>
  <si>
    <t>Perito :</t>
  </si>
  <si>
    <t>Seguradora :</t>
  </si>
  <si>
    <t>Relatório de Pericias - Perito</t>
  </si>
  <si>
    <t>Relatório de Penhor - Perito</t>
  </si>
  <si>
    <t>PAGTO PERITO</t>
  </si>
  <si>
    <t>Status:</t>
  </si>
  <si>
    <t>Itamar</t>
  </si>
  <si>
    <t>Chuva de Granizo</t>
  </si>
  <si>
    <t>Fabricio</t>
  </si>
  <si>
    <t>Fernando</t>
  </si>
  <si>
    <t>Fausto</t>
  </si>
  <si>
    <t>roubo</t>
  </si>
  <si>
    <t>STATUS SEGURADORA</t>
  </si>
  <si>
    <t>STATUS PERITO</t>
  </si>
  <si>
    <t>PERITO</t>
  </si>
  <si>
    <t>DT LANCAMENTO</t>
  </si>
  <si>
    <t>TIPO</t>
  </si>
  <si>
    <t>APOLICE</t>
  </si>
  <si>
    <t>602,10</t>
  </si>
  <si>
    <t>Penhor</t>
  </si>
  <si>
    <t>135,00</t>
  </si>
  <si>
    <t>1710,1</t>
  </si>
  <si>
    <t>2,1</t>
  </si>
  <si>
    <t>50,00</t>
  </si>
  <si>
    <t>30,00</t>
  </si>
  <si>
    <t>1,00</t>
  </si>
  <si>
    <t>352,10</t>
  </si>
  <si>
    <t>15,00</t>
  </si>
  <si>
    <t>32,00</t>
  </si>
  <si>
    <t>14,00</t>
  </si>
  <si>
    <t>10,00</t>
  </si>
  <si>
    <t>650,00</t>
  </si>
  <si>
    <t>18,00</t>
  </si>
  <si>
    <t>19,00</t>
  </si>
  <si>
    <t>20,00</t>
  </si>
  <si>
    <t>719,00</t>
  </si>
  <si>
    <t>12,00</t>
  </si>
  <si>
    <t>462,10</t>
  </si>
  <si>
    <t>2,00</t>
  </si>
  <si>
    <t>DT PAGAMENTO</t>
  </si>
  <si>
    <t>Relatório de Contas A pagar</t>
  </si>
  <si>
    <t>Tipo</t>
  </si>
  <si>
    <t>&gt; Penhor ou Pericia</t>
  </si>
  <si>
    <t>&gt; Aberto ou Liquidado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</si>
  <si>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</si>
  <si>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</si>
  <si>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</si>
  <si>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</si>
  <si>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</si>
  <si>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</si>
  <si>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</si>
  <si>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Porto Seguro</t>
  </si>
  <si>
    <t>Valores Seguradora</t>
  </si>
  <si>
    <t>Sicoob Seguradora</t>
  </si>
  <si>
    <t>Rua tal</t>
  </si>
  <si>
    <t>Sicred seguros</t>
  </si>
  <si>
    <t>rua</t>
  </si>
  <si>
    <t>Valores Penho e pericia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</si>
</sst>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#,##0.00;\-&quot;R$&quot;#,##0.00"/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66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0" borderId="0" xfId="0" applyFont="1" applyAlignment="1"/>
    <xf numFmtId="49" fontId="1" fillId="2" borderId="1" xfId="0" applyNumberFormat="1" applyFont="1" applyFill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2" fillId="0" borderId="0" xfId="0" applyFon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1" fontId="1" fillId="2" borderId="1" xfId="0" applyNumberFormat="1" applyFon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right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center"/>
    </xf>
    <xf numFmtId="14" fontId="1" fillId="2" borderId="3" xfId="0" applyNumberFormat="1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5" fillId="0" borderId="0" xfId="0" applyFont="1"/>
    <xf numFmtId="0" fontId="5" fillId="3" borderId="0" xfId="0" applyFont="1" applyFill="1" applyBorder="1"/>
    <xf numFmtId="0" fontId="0" fillId="0" borderId="0" xfId="0" applyFill="1" applyBorder="1"/>
    <xf numFmtId="0" fontId="4" fillId="0" borderId="5" xfId="0" applyFont="1" applyBorder="1" applyAlignment="1"/>
    <xf numFmtId="0" fontId="4" fillId="0" borderId="0" xfId="0" applyFont="1" applyBorder="1" applyAlignment="1"/>
    <xf numFmtId="14" fontId="0" fillId="0" borderId="0" xfId="1" applyNumberFormat="1" applyFont="1"/>
    <xf numFmtId="14" fontId="6" fillId="3" borderId="0" xfId="0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center"/>
    </xf>
    <xf numFmtId="0" fontId="7" fillId="0" borderId="0" xfId="0" applyFont="1"/>
    <xf numFmtId="0" fontId="7" fillId="3" borderId="0" xfId="0" applyFont="1" applyFill="1" applyBorder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0" fontId="0" fillId="0" borderId="0" xfId="0" applyBorder="1" applyAlignment="1">
      <alignment horizontal="left"/>
    </xf>
    <xf numFmtId="0" fontId="0" fillId="4" borderId="7" xfId="0" applyFont="1" applyFill="1" applyBorder="1"/>
    <xf numFmtId="0" fontId="0" fillId="0" borderId="7" xfId="0" applyFont="1" applyBorder="1"/>
    <xf numFmtId="44" fontId="1" fillId="2" borderId="3" xfId="1" applyNumberFormat="1" applyFont="1" applyFill="1" applyBorder="1" applyAlignment="1">
      <alignment horizontal="center"/>
    </xf>
    <xf numFmtId="44" fontId="1" fillId="2" borderId="4" xfId="1" applyNumberFormat="1" applyFont="1" applyFill="1" applyBorder="1" applyAlignment="1">
      <alignment horizontal="center"/>
    </xf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44" fontId="6" fillId="3" borderId="0" xfId="1" applyFont="1" applyFill="1" applyBorder="1" applyAlignment="1">
      <alignment horizontal="right"/>
    </xf>
    <xf numFmtId="44" fontId="6" fillId="3" borderId="0" xfId="1" applyFont="1" applyFill="1" applyBorder="1" applyAlignment="1">
      <alignment horizontal="center"/>
    </xf>
    <xf numFmtId="44" fontId="7" fillId="3" borderId="0" xfId="1" applyFont="1" applyFill="1" applyBorder="1"/>
    <xf numFmtId="0" fontId="0" fillId="0" borderId="0" xfId="0" pivotButton="1"/>
    <xf numFmtId="0" fontId="8" fillId="0" borderId="0" xfId="0" applyFont="1"/>
    <xf numFmtId="44" fontId="2" fillId="0" borderId="0" xfId="1" applyFont="1"/>
    <xf numFmtId="44" fontId="2" fillId="0" borderId="0" xfId="1" applyFont="1" applyBorder="1" applyAlignment="1">
      <alignment horizontal="left"/>
    </xf>
    <xf numFmtId="44" fontId="2" fillId="0" borderId="0" xfId="1" applyFont="1" applyBorder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Border="1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left"/>
    </xf>
  </cellXfs>
  <cellStyles count="2">
    <cellStyle name="Moeda" xfId="1" builtinId="4"/>
    <cellStyle name="Normal" xfId="0" builtinId="0"/>
  </cellStyles>
  <dxfs count="34"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numFmt numFmtId="19" formatCode="dd/mm/yyyy"/>
    </dxf>
    <dxf>
      <numFmt numFmtId="19" formatCode="dd/mm/yyyy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2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32" Type="http://schemas.microsoft.com/office/2011/relationships/timelineCache" Target="timelineCaches/timelineCach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7/relationships/slicerCache" Target="slicerCaches/slicerCache5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7/relationships/slicerCache" Target="slicerCaches/slicerCache4.xml"/><Relationship Id="rId30" Type="http://schemas.microsoft.com/office/2007/relationships/slicerCache" Target="slicerCaches/slicerCache7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</a:t>
            </a:r>
            <a:r>
              <a:rPr lang="pt-BR" baseline="0"/>
              <a:t> TIPO DE SERVIÇO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8D1-45C8-A288-64AF2295B8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8D1-45C8-A288-64AF2295B89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D1-45C8-A288-64AF2295B89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D1-45C8-A288-64AF2295B89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TbDinamicaApagar!$U$3:$U$4</c:f>
              <c:strCache>
                <c:ptCount val="2"/>
                <c:pt idx="0">
                  <c:v>Penhor</c:v>
                </c:pt>
                <c:pt idx="1">
                  <c:v>Pericia</c:v>
                </c:pt>
              </c:strCache>
            </c:strRef>
          </c:cat>
          <c:val>
            <c:numRef>
              <c:f>TbDinamicaApagar!$V$3:$V$4</c:f>
              <c:numCache>
                <c:formatCode>_("R$"* #,##0.00_);_("R$"* \(#,##0.00\);_("R$"* "-"??_);_(@_)</c:formatCode>
                <c:ptCount val="2"/>
                <c:pt idx="0">
                  <c:v>3183.1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D1-45C8-A288-64AF2295B8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SEGURADORA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70-4730-8E82-877D2A31DE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70-4730-8E82-877D2A31DEE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A70-4730-8E82-877D2A31DEE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A70-4730-8E82-877D2A31DEE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A70-4730-8E82-877D2A31DEE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A70-4730-8E82-877D2A31DEE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A70-4730-8E82-877D2A31DEE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A70-4730-8E82-877D2A31DEE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A70-4730-8E82-877D2A31DEE3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A70-4730-8E82-877D2A31DEE3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A70-4730-8E82-877D2A31DEE3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A70-4730-8E82-877D2A31DEE3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A70-4730-8E82-877D2A31DEE3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0A70-4730-8E82-877D2A31DEE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TbDinamicaApagar!$R$3:$R$9</c:f>
              <c:strCache>
                <c:ptCount val="7"/>
                <c:pt idx="0">
                  <c:v>Bradesco</c:v>
                </c:pt>
                <c:pt idx="1">
                  <c:v>Banco do Brasil</c:v>
                </c:pt>
                <c:pt idx="2">
                  <c:v>Porto seguro</c:v>
                </c:pt>
                <c:pt idx="3">
                  <c:v>Liberty</c:v>
                </c:pt>
                <c:pt idx="4">
                  <c:v>Itau</c:v>
                </c:pt>
                <c:pt idx="5">
                  <c:v>Sicoob Seguradora</c:v>
                </c:pt>
                <c:pt idx="6">
                  <c:v>Sicred seguros</c:v>
                </c:pt>
              </c:strCache>
            </c:strRef>
          </c:cat>
          <c:val>
            <c:numRef>
              <c:f>TbDinamicaApagar!$S$3:$S$9</c:f>
              <c:numCache>
                <c:formatCode>_("R$"* #,##0.00_);_("R$"* \(#,##0.00\);_("R$"* "-"??_);_(@_)</c:formatCode>
                <c:ptCount val="7"/>
                <c:pt idx="0">
                  <c:v>223</c:v>
                </c:pt>
                <c:pt idx="1">
                  <c:v>3183.1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A70-4730-8E82-877D2A31DE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seguradora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DD1-44E6-8DE4-465B00D6D7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DD1-44E6-8DE4-465B00D6D7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DD1-44E6-8DE4-465B00D6D7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DD1-44E6-8DE4-465B00D6D7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DD1-44E6-8DE4-465B00D6D7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DD1-44E6-8DE4-465B00D6D7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DD1-44E6-8DE4-465B00D6D7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DD1-44E6-8DE4-465B00D6D76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DD1-44E6-8DE4-465B00D6D76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DD1-44E6-8DE4-465B00D6D76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CDD1-44E6-8DE4-465B00D6D76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CDD1-44E6-8DE4-465B00D6D76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CDD1-44E6-8DE4-465B00D6D76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CDD1-44E6-8DE4-465B00D6D765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CDD1-44E6-8DE4-465B00D6D765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CDD1-44E6-8DE4-465B00D6D76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TbDinamicaReceber!$R$2:$R$9</c:f>
              <c:strCache>
                <c:ptCount val="8"/>
                <c:pt idx="0">
                  <c:v>Valores Seguradora</c:v>
                </c:pt>
                <c:pt idx="1">
                  <c:v>Bradesco</c:v>
                </c:pt>
                <c:pt idx="2">
                  <c:v>Banco do Brasil</c:v>
                </c:pt>
                <c:pt idx="3">
                  <c:v>Porto seguro</c:v>
                </c:pt>
                <c:pt idx="4">
                  <c:v>Liberty</c:v>
                </c:pt>
                <c:pt idx="5">
                  <c:v>Itau</c:v>
                </c:pt>
                <c:pt idx="6">
                  <c:v>Sicoob Seguradora</c:v>
                </c:pt>
                <c:pt idx="7">
                  <c:v>Sicred seguros</c:v>
                </c:pt>
              </c:strCache>
            </c:strRef>
          </c:cat>
          <c:val>
            <c:numRef>
              <c:f>TbDinamicaReceber!$S$2:$S$9</c:f>
              <c:numCache>
                <c:formatCode>_("R$"* #,##0.00_);_("R$"* \(#,##0.00\);_("R$"* "-"??_);_(@_)</c:formatCode>
                <c:ptCount val="8"/>
                <c:pt idx="1">
                  <c:v>223</c:v>
                </c:pt>
                <c:pt idx="2">
                  <c:v>446</c:v>
                </c:pt>
                <c:pt idx="3">
                  <c:v>0</c:v>
                </c:pt>
                <c:pt idx="4">
                  <c:v>478.1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D1-44E6-8DE4-465B00D6D7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TIPO</a:t>
            </a:r>
            <a:r>
              <a:rPr lang="pt-BR" baseline="0"/>
              <a:t> DE SERVIÇO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C4B-455C-9E3A-CFBCAD50F5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4B-455C-9E3A-CFBCAD50F58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C4B-455C-9E3A-CFBCAD50F58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C4B-455C-9E3A-CFBCAD50F5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TbDinamicaReceber!$U$3:$U$4</c:f>
              <c:strCache>
                <c:ptCount val="2"/>
                <c:pt idx="0">
                  <c:v>Penhor</c:v>
                </c:pt>
                <c:pt idx="1">
                  <c:v>Pericia</c:v>
                </c:pt>
              </c:strCache>
            </c:strRef>
          </c:cat>
          <c:val>
            <c:numRef>
              <c:f>TbDinamicaReceber!$V$3:$V$4</c:f>
              <c:numCache>
                <c:formatCode>_("R$"* #,##0.00_);_("R$"* \(#,##0.00\);_("R$"* "-"??_);_(@_)</c:formatCode>
                <c:ptCount val="2"/>
                <c:pt idx="0">
                  <c:v>701.1</c:v>
                </c:pt>
                <c:pt idx="1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4B-455C-9E3A-CFBCAD50F5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3</xdr:row>
      <xdr:rowOff>152400</xdr:rowOff>
    </xdr:from>
    <xdr:to>
      <xdr:col>20</xdr:col>
      <xdr:colOff>457199</xdr:colOff>
      <xdr:row>23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33350" y="723900"/>
          <a:ext cx="12515849" cy="3657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0</xdr:row>
      <xdr:rowOff>38100</xdr:rowOff>
    </xdr:from>
    <xdr:to>
      <xdr:col>20</xdr:col>
      <xdr:colOff>428625</xdr:colOff>
      <xdr:row>3</xdr:row>
      <xdr:rowOff>123825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0465823-87AB-4C24-B968-74F720E07412}"/>
            </a:ext>
          </a:extLst>
        </xdr:cNvPr>
        <xdr:cNvSpPr/>
      </xdr:nvSpPr>
      <xdr:spPr>
        <a:xfrm>
          <a:off x="133350" y="38100"/>
          <a:ext cx="12487275" cy="657225"/>
        </a:xfrm>
        <a:prstGeom prst="rect">
          <a:avLst/>
        </a:prstGeom>
        <a:solidFill>
          <a:srgbClr val="33996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1</xdr:col>
      <xdr:colOff>361950</xdr:colOff>
      <xdr:row>4</xdr:row>
      <xdr:rowOff>85725</xdr:rowOff>
    </xdr:from>
    <xdr:to>
      <xdr:col>5</xdr:col>
      <xdr:colOff>581025</xdr:colOff>
      <xdr:row>22</xdr:row>
      <xdr:rowOff>104776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69B5BFD-789B-46EB-9B1E-C0300D6B4B47}"/>
            </a:ext>
          </a:extLst>
        </xdr:cNvPr>
        <xdr:cNvSpPr/>
      </xdr:nvSpPr>
      <xdr:spPr>
        <a:xfrm>
          <a:off x="971550" y="84772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Cadastros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</xdr:col>
      <xdr:colOff>371474</xdr:colOff>
      <xdr:row>7</xdr:row>
      <xdr:rowOff>57150</xdr:rowOff>
    </xdr:from>
    <xdr:to>
      <xdr:col>5</xdr:col>
      <xdr:colOff>507074</xdr:colOff>
      <xdr:row>10</xdr:row>
      <xdr:rowOff>133350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55CF792-FB14-4BCE-B22D-0E562E845DEC}"/>
            </a:ext>
          </a:extLst>
        </xdr:cNvPr>
        <xdr:cNvGrpSpPr/>
      </xdr:nvGrpSpPr>
      <xdr:grpSpPr>
        <a:xfrm>
          <a:off x="981074" y="1390650"/>
          <a:ext cx="2574000" cy="647700"/>
          <a:chOff x="314325" y="1171575"/>
          <a:chExt cx="2571751" cy="647700"/>
        </a:xfrm>
      </xdr:grpSpPr>
      <xdr:sp macro="[0]!ChamarCadPericia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4F2D0FDD-35CE-4922-9C64-137429E8B9B1}"/>
              </a:ext>
            </a:extLst>
          </xdr:cNvPr>
          <xdr:cNvSpPr/>
        </xdr:nvSpPr>
        <xdr:spPr>
          <a:xfrm>
            <a:off x="35242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       Cadastro</a:t>
            </a:r>
            <a:r>
              <a:rPr lang="pt-BR" sz="1200" b="1" baseline="0"/>
              <a:t> de Pericias Agrícolas</a:t>
            </a:r>
            <a:endParaRPr lang="pt-BR" sz="1200" b="1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5A805E8-0646-4677-A86F-3590C9547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4325" y="12001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361950</xdr:colOff>
      <xdr:row>14</xdr:row>
      <xdr:rowOff>114300</xdr:rowOff>
    </xdr:from>
    <xdr:to>
      <xdr:col>5</xdr:col>
      <xdr:colOff>535649</xdr:colOff>
      <xdr:row>18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ADBE0DA9-3110-4A58-92E8-6216EABD1714}"/>
            </a:ext>
          </a:extLst>
        </xdr:cNvPr>
        <xdr:cNvGrpSpPr/>
      </xdr:nvGrpSpPr>
      <xdr:grpSpPr>
        <a:xfrm>
          <a:off x="971550" y="2781300"/>
          <a:ext cx="2612099" cy="647700"/>
          <a:chOff x="285750" y="2562225"/>
          <a:chExt cx="2612099" cy="647700"/>
        </a:xfrm>
      </xdr:grpSpPr>
      <xdr:sp macro="[0]!ChamarCadSegurador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441E12AC-E5B5-449D-AC54-B32148DF1F12}"/>
              </a:ext>
            </a:extLst>
          </xdr:cNvPr>
          <xdr:cNvSpPr/>
        </xdr:nvSpPr>
        <xdr:spPr>
          <a:xfrm>
            <a:off x="323849" y="2562225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Cadastro de seguradora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C3DBEE1-E39D-4A7E-9161-020FC5A8C6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5750" y="26003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361951</xdr:colOff>
      <xdr:row>10</xdr:row>
      <xdr:rowOff>180975</xdr:rowOff>
    </xdr:from>
    <xdr:to>
      <xdr:col>5</xdr:col>
      <xdr:colOff>535651</xdr:colOff>
      <xdr:row>14</xdr:row>
      <xdr:rowOff>85725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4953D31-624A-4BD3-8EB8-12D36062ED64}"/>
            </a:ext>
          </a:extLst>
        </xdr:cNvPr>
        <xdr:cNvGrpSpPr/>
      </xdr:nvGrpSpPr>
      <xdr:grpSpPr>
        <a:xfrm>
          <a:off x="971551" y="2085975"/>
          <a:ext cx="2612100" cy="666750"/>
          <a:chOff x="295276" y="1866900"/>
          <a:chExt cx="2612100" cy="666750"/>
        </a:xfrm>
      </xdr:grpSpPr>
      <xdr:sp macro="[0]!ChamarCadPenhor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BCBC5217-8031-4DA6-AC26-76D5311E1B72}"/>
              </a:ext>
            </a:extLst>
          </xdr:cNvPr>
          <xdr:cNvSpPr/>
        </xdr:nvSpPr>
        <xdr:spPr>
          <a:xfrm>
            <a:off x="333376" y="18669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Cadastro</a:t>
            </a:r>
            <a:r>
              <a:rPr lang="pt-BR" sz="1200" b="1" baseline="0"/>
              <a:t> de Penhor Rural</a:t>
            </a:r>
            <a:endParaRPr lang="pt-BR" sz="1200" b="1"/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B61155D-9E13-4D62-BCE6-9878B20D35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6" y="19240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400049</xdr:colOff>
      <xdr:row>18</xdr:row>
      <xdr:rowOff>47625</xdr:rowOff>
    </xdr:from>
    <xdr:to>
      <xdr:col>5</xdr:col>
      <xdr:colOff>535649</xdr:colOff>
      <xdr:row>21</xdr:row>
      <xdr:rowOff>123825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948D8E6-7798-4936-9AB8-0D35D5A68B06}"/>
            </a:ext>
          </a:extLst>
        </xdr:cNvPr>
        <xdr:cNvGrpSpPr/>
      </xdr:nvGrpSpPr>
      <xdr:grpSpPr>
        <a:xfrm>
          <a:off x="1009649" y="3476625"/>
          <a:ext cx="2574000" cy="647700"/>
          <a:chOff x="295275" y="3257550"/>
          <a:chExt cx="2552701" cy="647700"/>
        </a:xfrm>
      </xdr:grpSpPr>
      <xdr:sp macro="[0]!ChamarCadPerito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3A8EC8ED-00ED-44E9-9A79-A200629BF9E4}"/>
              </a:ext>
            </a:extLst>
          </xdr:cNvPr>
          <xdr:cNvSpPr/>
        </xdr:nvSpPr>
        <xdr:spPr>
          <a:xfrm>
            <a:off x="314326" y="3257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Cadastro de Peritos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37B41FE-69F7-4CCB-85BA-D7E1742EF8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32670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4</xdr:row>
      <xdr:rowOff>104775</xdr:rowOff>
    </xdr:from>
    <xdr:to>
      <xdr:col>10</xdr:col>
      <xdr:colOff>257175</xdr:colOff>
      <xdr:row>22</xdr:row>
      <xdr:rowOff>123826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6957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85726</xdr:colOff>
      <xdr:row>7</xdr:row>
      <xdr:rowOff>57150</xdr:rowOff>
    </xdr:from>
    <xdr:to>
      <xdr:col>10</xdr:col>
      <xdr:colOff>221326</xdr:colOff>
      <xdr:row>10</xdr:row>
      <xdr:rowOff>133350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743326" y="1390650"/>
          <a:ext cx="2574000" cy="647700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104776</xdr:colOff>
      <xdr:row>11</xdr:row>
      <xdr:rowOff>0</xdr:rowOff>
    </xdr:from>
    <xdr:to>
      <xdr:col>10</xdr:col>
      <xdr:colOff>240376</xdr:colOff>
      <xdr:row>14</xdr:row>
      <xdr:rowOff>76200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762376" y="2095500"/>
          <a:ext cx="2574000" cy="647700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304800</xdr:colOff>
      <xdr:row>4</xdr:row>
      <xdr:rowOff>104775</xdr:rowOff>
    </xdr:from>
    <xdr:to>
      <xdr:col>14</xdr:col>
      <xdr:colOff>523875</xdr:colOff>
      <xdr:row>22</xdr:row>
      <xdr:rowOff>123826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45A439A-B079-4BEE-896F-68EFF529C7D6}"/>
            </a:ext>
          </a:extLst>
        </xdr:cNvPr>
        <xdr:cNvSpPr/>
      </xdr:nvSpPr>
      <xdr:spPr>
        <a:xfrm>
          <a:off x="64008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Relatórios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10</xdr:col>
      <xdr:colOff>352426</xdr:colOff>
      <xdr:row>7</xdr:row>
      <xdr:rowOff>19050</xdr:rowOff>
    </xdr:from>
    <xdr:to>
      <xdr:col>14</xdr:col>
      <xdr:colOff>447676</xdr:colOff>
      <xdr:row>11</xdr:row>
      <xdr:rowOff>19050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43D6131D-877B-4D30-92E7-D1DBAC3A3511}"/>
            </a:ext>
          </a:extLst>
        </xdr:cNvPr>
        <xdr:cNvGrpSpPr/>
      </xdr:nvGrpSpPr>
      <xdr:grpSpPr>
        <a:xfrm>
          <a:off x="6448426" y="1352550"/>
          <a:ext cx="2533650" cy="762000"/>
          <a:chOff x="9886951" y="2552700"/>
          <a:chExt cx="2533650" cy="762000"/>
        </a:xfrm>
      </xdr:grpSpPr>
      <xdr:sp macro="[0]!ChamarRelPericias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10C130D5-083B-42C5-9302-2E840D945295}"/>
              </a:ext>
            </a:extLst>
          </xdr:cNvPr>
          <xdr:cNvSpPr/>
        </xdr:nvSpPr>
        <xdr:spPr>
          <a:xfrm>
            <a:off x="9886951" y="26098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Percias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DE9E950-42C8-44AA-8C4B-02F188A5B9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2552700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361951</xdr:colOff>
      <xdr:row>10</xdr:row>
      <xdr:rowOff>152400</xdr:rowOff>
    </xdr:from>
    <xdr:to>
      <xdr:col>14</xdr:col>
      <xdr:colOff>457201</xdr:colOff>
      <xdr:row>14</xdr:row>
      <xdr:rowOff>152400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A215DF8-71FA-4BA1-9808-BA7526E2BBFA}"/>
            </a:ext>
          </a:extLst>
        </xdr:cNvPr>
        <xdr:cNvGrpSpPr/>
      </xdr:nvGrpSpPr>
      <xdr:grpSpPr>
        <a:xfrm>
          <a:off x="6457951" y="2057400"/>
          <a:ext cx="2533650" cy="762000"/>
          <a:chOff x="9858376" y="3248025"/>
          <a:chExt cx="2533650" cy="762000"/>
        </a:xfrm>
      </xdr:grpSpPr>
      <xdr:sp macro="[0]!ChamarRelPericias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B36E5149-BCB8-4B4B-B0B3-7C63C6247554}"/>
              </a:ext>
            </a:extLst>
          </xdr:cNvPr>
          <xdr:cNvSpPr/>
        </xdr:nvSpPr>
        <xdr:spPr>
          <a:xfrm>
            <a:off x="9858376" y="33051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Penhor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DB4ECA9A-EA72-4E9D-9DB3-6CECB37DA9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06000" y="3248025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552450</xdr:colOff>
      <xdr:row>4</xdr:row>
      <xdr:rowOff>114300</xdr:rowOff>
    </xdr:from>
    <xdr:to>
      <xdr:col>19</xdr:col>
      <xdr:colOff>161925</xdr:colOff>
      <xdr:row>22</xdr:row>
      <xdr:rowOff>133351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11CD09C3-2702-46DD-B79B-F32197FA1E9E}"/>
            </a:ext>
          </a:extLst>
        </xdr:cNvPr>
        <xdr:cNvSpPr/>
      </xdr:nvSpPr>
      <xdr:spPr>
        <a:xfrm>
          <a:off x="9086850" y="876300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Demonstrativos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95251</xdr:colOff>
      <xdr:row>14</xdr:row>
      <xdr:rowOff>114300</xdr:rowOff>
    </xdr:from>
    <xdr:to>
      <xdr:col>10</xdr:col>
      <xdr:colOff>230851</xdr:colOff>
      <xdr:row>18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752851" y="2781300"/>
          <a:ext cx="2574000" cy="647700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85725</xdr:colOff>
      <xdr:row>18</xdr:row>
      <xdr:rowOff>38100</xdr:rowOff>
    </xdr:from>
    <xdr:to>
      <xdr:col>10</xdr:col>
      <xdr:colOff>221325</xdr:colOff>
      <xdr:row>21</xdr:row>
      <xdr:rowOff>114300</xdr:rowOff>
    </xdr:to>
    <xdr:sp macro="[0]!ChamarRecebimento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57B1C42C-19F9-4CDA-AA34-BBAE846F43FF}"/>
            </a:ext>
          </a:extLst>
        </xdr:cNvPr>
        <xdr:cNvSpPr/>
      </xdr:nvSpPr>
      <xdr:spPr>
        <a:xfrm>
          <a:off x="3743325" y="3467100"/>
          <a:ext cx="257400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      Recebimento Seguradoras</a:t>
          </a:r>
        </a:p>
      </xdr:txBody>
    </xdr:sp>
    <xdr:clientData/>
  </xdr:twoCellAnchor>
  <xdr:twoCellAnchor editAs="oneCell">
    <xdr:from>
      <xdr:col>6</xdr:col>
      <xdr:colOff>200025</xdr:colOff>
      <xdr:row>18</xdr:row>
      <xdr:rowOff>47625</xdr:rowOff>
    </xdr:from>
    <xdr:to>
      <xdr:col>7</xdr:col>
      <xdr:colOff>200025</xdr:colOff>
      <xdr:row>21</xdr:row>
      <xdr:rowOff>85725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A0B6A9BA-08C4-4961-A242-BFAE979EF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7625" y="3476625"/>
          <a:ext cx="609600" cy="609600"/>
        </a:xfrm>
        <a:prstGeom prst="rect">
          <a:avLst/>
        </a:prstGeom>
      </xdr:spPr>
    </xdr:pic>
    <xdr:clientData/>
  </xdr:twoCellAnchor>
  <xdr:twoCellAnchor>
    <xdr:from>
      <xdr:col>14</xdr:col>
      <xdr:colOff>600075</xdr:colOff>
      <xdr:row>7</xdr:row>
      <xdr:rowOff>66674</xdr:rowOff>
    </xdr:from>
    <xdr:to>
      <xdr:col>19</xdr:col>
      <xdr:colOff>85725</xdr:colOff>
      <xdr:row>11</xdr:row>
      <xdr:rowOff>19049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BC0601C4-A8B2-49B4-A9B3-D4134C226D8A}"/>
            </a:ext>
          </a:extLst>
        </xdr:cNvPr>
        <xdr:cNvGrpSpPr/>
      </xdr:nvGrpSpPr>
      <xdr:grpSpPr>
        <a:xfrm>
          <a:off x="9134475" y="1400174"/>
          <a:ext cx="2533650" cy="714375"/>
          <a:chOff x="9134475" y="1400174"/>
          <a:chExt cx="2533650" cy="714375"/>
        </a:xfrm>
      </xdr:grpSpPr>
      <xdr:sp macro="[0]!DashboardApagar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F6D63C3D-AD8D-4FAF-9CB5-908BF4EC079D}"/>
              </a:ext>
            </a:extLst>
          </xdr:cNvPr>
          <xdr:cNvSpPr/>
        </xdr:nvSpPr>
        <xdr:spPr>
          <a:xfrm>
            <a:off x="9134475" y="14097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8EAC8F3-124E-4ACD-9CD3-F7487F6287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10675" y="1400174"/>
            <a:ext cx="714375" cy="71437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10</xdr:row>
      <xdr:rowOff>161925</xdr:rowOff>
    </xdr:from>
    <xdr:to>
      <xdr:col>19</xdr:col>
      <xdr:colOff>85725</xdr:colOff>
      <xdr:row>14</xdr:row>
      <xdr:rowOff>171451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72BDFC8-1F4A-4DA0-ABE9-949EE0396093}"/>
            </a:ext>
          </a:extLst>
        </xdr:cNvPr>
        <xdr:cNvGrpSpPr/>
      </xdr:nvGrpSpPr>
      <xdr:grpSpPr>
        <a:xfrm>
          <a:off x="9134475" y="2066925"/>
          <a:ext cx="2533650" cy="771526"/>
          <a:chOff x="9134475" y="2066925"/>
          <a:chExt cx="2533650" cy="771526"/>
        </a:xfrm>
      </xdr:grpSpPr>
      <xdr:sp macro="[0]!DashboardReceber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38F7F601-3380-462B-A2A0-9B7AD138E6D1}"/>
              </a:ext>
            </a:extLst>
          </xdr:cNvPr>
          <xdr:cNvSpPr/>
        </xdr:nvSpPr>
        <xdr:spPr>
          <a:xfrm>
            <a:off x="9134475" y="2114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Recebimentos</a:t>
            </a:r>
          </a:p>
        </xdr:txBody>
      </xdr:sp>
      <xdr:pic macro="[0]!DashboardReceber">
        <xdr:nvPicPr>
          <xdr:cNvPr id="68" name="Imagem 67">
            <a:extLst>
              <a:ext uri="{FF2B5EF4-FFF2-40B4-BE49-F238E27FC236}">
                <a16:creationId xmlns:a16="http://schemas.microsoft.com/office/drawing/2014/main" id="{57E18313-068B-4E47-A71A-492D21E1D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2575" y="2066925"/>
            <a:ext cx="790575" cy="77152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14</xdr:row>
      <xdr:rowOff>142875</xdr:rowOff>
    </xdr:from>
    <xdr:to>
      <xdr:col>19</xdr:col>
      <xdr:colOff>85725</xdr:colOff>
      <xdr:row>18</xdr:row>
      <xdr:rowOff>28575</xdr:rowOff>
    </xdr:to>
    <xdr:sp macro="[0]!ChamarRelPericias" textlink="">
      <xdr:nvSpPr>
        <xdr:cNvPr id="72" name="Retângulo: Cantos Arredondados 71">
          <a:extLst>
            <a:ext uri="{FF2B5EF4-FFF2-40B4-BE49-F238E27FC236}">
              <a16:creationId xmlns:a16="http://schemas.microsoft.com/office/drawing/2014/main" id="{2BA01F97-6D67-417F-AA78-CA84150B6B3B}"/>
            </a:ext>
          </a:extLst>
        </xdr:cNvPr>
        <xdr:cNvSpPr/>
      </xdr:nvSpPr>
      <xdr:spPr>
        <a:xfrm>
          <a:off x="9134475" y="28098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Recebimentos</a:t>
          </a:r>
        </a:p>
      </xdr:txBody>
    </xdr:sp>
    <xdr:clientData/>
  </xdr:twoCellAnchor>
  <xdr:twoCellAnchor editAs="oneCell">
    <xdr:from>
      <xdr:col>15</xdr:col>
      <xdr:colOff>28575</xdr:colOff>
      <xdr:row>14</xdr:row>
      <xdr:rowOff>104775</xdr:rowOff>
    </xdr:from>
    <xdr:to>
      <xdr:col>16</xdr:col>
      <xdr:colOff>161925</xdr:colOff>
      <xdr:row>18</xdr:row>
      <xdr:rowOff>85725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9ECD6C31-FEA3-44A9-A6FB-906DCC24C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2771775"/>
          <a:ext cx="742950" cy="742950"/>
        </a:xfrm>
        <a:prstGeom prst="rect">
          <a:avLst/>
        </a:prstGeom>
      </xdr:spPr>
    </xdr:pic>
    <xdr:clientData/>
  </xdr:twoCellAnchor>
  <xdr:twoCellAnchor>
    <xdr:from>
      <xdr:col>10</xdr:col>
      <xdr:colOff>361950</xdr:colOff>
      <xdr:row>14</xdr:row>
      <xdr:rowOff>133350</xdr:rowOff>
    </xdr:from>
    <xdr:to>
      <xdr:col>14</xdr:col>
      <xdr:colOff>457200</xdr:colOff>
      <xdr:row>18</xdr:row>
      <xdr:rowOff>19050</xdr:rowOff>
    </xdr:to>
    <xdr:sp macro="[0]!ChamaRelContasApagar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32948D41-5C56-4455-A45E-627DEB007598}"/>
            </a:ext>
          </a:extLst>
        </xdr:cNvPr>
        <xdr:cNvSpPr/>
      </xdr:nvSpPr>
      <xdr:spPr>
        <a:xfrm>
          <a:off x="6457950" y="280035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Pagamentos</a:t>
          </a:r>
        </a:p>
      </xdr:txBody>
    </xdr:sp>
    <xdr:clientData/>
  </xdr:twoCellAnchor>
  <xdr:twoCellAnchor>
    <xdr:from>
      <xdr:col>10</xdr:col>
      <xdr:colOff>371475</xdr:colOff>
      <xdr:row>18</xdr:row>
      <xdr:rowOff>66675</xdr:rowOff>
    </xdr:from>
    <xdr:to>
      <xdr:col>14</xdr:col>
      <xdr:colOff>466725</xdr:colOff>
      <xdr:row>21</xdr:row>
      <xdr:rowOff>142875</xdr:rowOff>
    </xdr:to>
    <xdr:sp macro="[0]!ChamarContarReceber" textlink="">
      <xdr:nvSpPr>
        <xdr:cNvPr id="79" name="Retângulo: Cantos Arredondados 78">
          <a:extLst>
            <a:ext uri="{FF2B5EF4-FFF2-40B4-BE49-F238E27FC236}">
              <a16:creationId xmlns:a16="http://schemas.microsoft.com/office/drawing/2014/main" id="{F90C1E6F-558C-41C1-BC0F-180EEF6C27F8}"/>
            </a:ext>
          </a:extLst>
        </xdr:cNvPr>
        <xdr:cNvSpPr/>
      </xdr:nvSpPr>
      <xdr:spPr>
        <a:xfrm>
          <a:off x="6467475" y="34956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</a:t>
          </a:r>
        </a:p>
      </xdr:txBody>
    </xdr:sp>
    <xdr:clientData/>
  </xdr:twoCellAnchor>
  <xdr:twoCellAnchor editAs="oneCell">
    <xdr:from>
      <xdr:col>10</xdr:col>
      <xdr:colOff>504825</xdr:colOff>
      <xdr:row>14</xdr:row>
      <xdr:rowOff>171449</xdr:rowOff>
    </xdr:from>
    <xdr:to>
      <xdr:col>11</xdr:col>
      <xdr:colOff>476250</xdr:colOff>
      <xdr:row>17</xdr:row>
      <xdr:rowOff>180974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8D77609E-1345-4E71-8C6B-EC11440B4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2838449"/>
          <a:ext cx="581025" cy="581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476250</xdr:colOff>
      <xdr:row>18</xdr:row>
      <xdr:rowOff>66675</xdr:rowOff>
    </xdr:from>
    <xdr:to>
      <xdr:col>11</xdr:col>
      <xdr:colOff>495300</xdr:colOff>
      <xdr:row>21</xdr:row>
      <xdr:rowOff>123825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BE5C761B-4CDD-45D7-916F-39EC01D28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3495675"/>
          <a:ext cx="62865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85725</xdr:rowOff>
    </xdr:from>
    <xdr:to>
      <xdr:col>0</xdr:col>
      <xdr:colOff>1390651</xdr:colOff>
      <xdr:row>0</xdr:row>
      <xdr:rowOff>381000</xdr:rowOff>
    </xdr:to>
    <xdr:sp macro="[0]!Atualizar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D431E2B-01BE-4C03-AF60-0BC10D32805C}"/>
            </a:ext>
          </a:extLst>
        </xdr:cNvPr>
        <xdr:cNvSpPr/>
      </xdr:nvSpPr>
      <xdr:spPr>
        <a:xfrm>
          <a:off x="219075" y="85725"/>
          <a:ext cx="1171576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552450</xdr:colOff>
      <xdr:row>12</xdr:row>
      <xdr:rowOff>9525</xdr:rowOff>
    </xdr:from>
    <xdr:to>
      <xdr:col>0</xdr:col>
      <xdr:colOff>2381250</xdr:colOff>
      <xdr:row>25</xdr:row>
      <xdr:rowOff>57150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ERITO 2">
              <a:extLst>
                <a:ext uri="{FF2B5EF4-FFF2-40B4-BE49-F238E27FC236}">
                  <a16:creationId xmlns:a16="http://schemas.microsoft.com/office/drawing/2014/main" id="{905A1B04-A957-4C5A-93D0-C7848A6CE4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2450" y="25908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2486025</xdr:colOff>
      <xdr:row>12</xdr:row>
      <xdr:rowOff>0</xdr:rowOff>
    </xdr:from>
    <xdr:to>
      <xdr:col>2</xdr:col>
      <xdr:colOff>285750</xdr:colOff>
      <xdr:row>25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SEGURADORA 2">
              <a:extLst>
                <a:ext uri="{FF2B5EF4-FFF2-40B4-BE49-F238E27FC236}">
                  <a16:creationId xmlns:a16="http://schemas.microsoft.com/office/drawing/2014/main" id="{A9A95E97-10B9-4C2E-8282-80CB76ABB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86025" y="25812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600075</xdr:colOff>
      <xdr:row>12</xdr:row>
      <xdr:rowOff>47625</xdr:rowOff>
    </xdr:from>
    <xdr:to>
      <xdr:col>5</xdr:col>
      <xdr:colOff>819150</xdr:colOff>
      <xdr:row>19</xdr:row>
      <xdr:rowOff>85725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DT VISTORIA">
              <a:extLst>
                <a:ext uri="{FF2B5EF4-FFF2-40B4-BE49-F238E27FC236}">
                  <a16:creationId xmlns:a16="http://schemas.microsoft.com/office/drawing/2014/main" id="{81BEA1E5-379D-4CD4-B68E-65BF35BD415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T VISTO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29150" y="2628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57150</xdr:colOff>
      <xdr:row>11</xdr:row>
      <xdr:rowOff>123825</xdr:rowOff>
    </xdr:from>
    <xdr:to>
      <xdr:col>12</xdr:col>
      <xdr:colOff>57150</xdr:colOff>
      <xdr:row>24</xdr:row>
      <xdr:rowOff>171450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TIPO 2">
              <a:extLst>
                <a:ext uri="{FF2B5EF4-FFF2-40B4-BE49-F238E27FC236}">
                  <a16:creationId xmlns:a16="http://schemas.microsoft.com/office/drawing/2014/main" id="{94186F8B-7EB2-4B6B-8B5B-91CD52FA35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20325" y="25146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1133475</xdr:colOff>
      <xdr:row>12</xdr:row>
      <xdr:rowOff>104775</xdr:rowOff>
    </xdr:from>
    <xdr:to>
      <xdr:col>8</xdr:col>
      <xdr:colOff>552450</xdr:colOff>
      <xdr:row>25</xdr:row>
      <xdr:rowOff>152400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STATUS 2">
              <a:extLst>
                <a:ext uri="{FF2B5EF4-FFF2-40B4-BE49-F238E27FC236}">
                  <a16:creationId xmlns:a16="http://schemas.microsoft.com/office/drawing/2014/main" id="{21F7AD1D-4E6E-415D-A589-D16D749CEA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77225" y="26860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17</xdr:col>
      <xdr:colOff>9525</xdr:colOff>
      <xdr:row>0</xdr:row>
      <xdr:rowOff>123825</xdr:rowOff>
    </xdr:from>
    <xdr:to>
      <xdr:col>18</xdr:col>
      <xdr:colOff>571501</xdr:colOff>
      <xdr:row>0</xdr:row>
      <xdr:rowOff>419100</xdr:rowOff>
    </xdr:to>
    <xdr:sp macro="[0]!AtualizaSeguradora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69BEE9C-80FC-460B-8E51-CA787747A1DD}"/>
            </a:ext>
          </a:extLst>
        </xdr:cNvPr>
        <xdr:cNvSpPr/>
      </xdr:nvSpPr>
      <xdr:spPr>
        <a:xfrm>
          <a:off x="15497175" y="123825"/>
          <a:ext cx="1171576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104775</xdr:colOff>
      <xdr:row>9</xdr:row>
      <xdr:rowOff>9525</xdr:rowOff>
    </xdr:from>
    <xdr:to>
      <xdr:col>3</xdr:col>
      <xdr:colOff>104775</xdr:colOff>
      <xdr:row>22</xdr:row>
      <xdr:rowOff>57150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9" name="PERITO 3">
              <a:extLst>
                <a:ext uri="{FF2B5EF4-FFF2-40B4-BE49-F238E27FC236}">
                  <a16:creationId xmlns:a16="http://schemas.microsoft.com/office/drawing/2014/main" id="{AF03B8A1-0898-413E-8FC2-CC95BF4156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161925</xdr:colOff>
      <xdr:row>9</xdr:row>
      <xdr:rowOff>9525</xdr:rowOff>
    </xdr:from>
    <xdr:to>
      <xdr:col>6</xdr:col>
      <xdr:colOff>161925</xdr:colOff>
      <xdr:row>22</xdr:row>
      <xdr:rowOff>57150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0" name="SEGURADORA 3">
              <a:extLst>
                <a:ext uri="{FF2B5EF4-FFF2-40B4-BE49-F238E27FC236}">
                  <a16:creationId xmlns:a16="http://schemas.microsoft.com/office/drawing/2014/main" id="{6D3931E7-A619-4EE0-996E-B36503ADB5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104774</xdr:colOff>
      <xdr:row>1</xdr:row>
      <xdr:rowOff>95250</xdr:rowOff>
    </xdr:from>
    <xdr:to>
      <xdr:col>6</xdr:col>
      <xdr:colOff>133349</xdr:colOff>
      <xdr:row>8</xdr:row>
      <xdr:rowOff>133350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1" name="DT VISTORIA 1">
              <a:extLst>
                <a:ext uri="{FF2B5EF4-FFF2-40B4-BE49-F238E27FC236}">
                  <a16:creationId xmlns:a16="http://schemas.microsoft.com/office/drawing/2014/main" id="{415A3EFC-2BF3-4E4B-BA38-330B868587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T VISTORI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4" y="600075"/>
              <a:ext cx="368617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95251</xdr:rowOff>
    </xdr:from>
    <xdr:to>
      <xdr:col>6</xdr:col>
      <xdr:colOff>152400</xdr:colOff>
      <xdr:row>29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2" name="TIPO 3">
              <a:extLst>
                <a:ext uri="{FF2B5EF4-FFF2-40B4-BE49-F238E27FC236}">
                  <a16:creationId xmlns:a16="http://schemas.microsoft.com/office/drawing/2014/main" id="{6B41AD86-A931-4E8C-ABAF-AEF568442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00576"/>
              <a:ext cx="1828800" cy="1314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114300</xdr:colOff>
      <xdr:row>22</xdr:row>
      <xdr:rowOff>104776</xdr:rowOff>
    </xdr:from>
    <xdr:to>
      <xdr:col>3</xdr:col>
      <xdr:colOff>114300</xdr:colOff>
      <xdr:row>29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3" name="STATUS 3">
              <a:extLst>
                <a:ext uri="{FF2B5EF4-FFF2-40B4-BE49-F238E27FC236}">
                  <a16:creationId xmlns:a16="http://schemas.microsoft.com/office/drawing/2014/main" id="{EB78E55E-02DD-48FB-8E6A-85BCBD3195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4610101"/>
              <a:ext cx="1828800" cy="1314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1</xdr:row>
      <xdr:rowOff>28575</xdr:rowOff>
    </xdr:from>
    <xdr:to>
      <xdr:col>20</xdr:col>
      <xdr:colOff>0</xdr:colOff>
      <xdr:row>15</xdr:row>
      <xdr:rowOff>104775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1CBD4EA3-9E5F-46B3-8E11-A1AB8D559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</xdr:row>
      <xdr:rowOff>85725</xdr:rowOff>
    </xdr:from>
    <xdr:to>
      <xdr:col>13</xdr:col>
      <xdr:colOff>514350</xdr:colOff>
      <xdr:row>15</xdr:row>
      <xdr:rowOff>161925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C7CC43F4-AF88-4D3C-ACFB-32590534C1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6</xdr:col>
      <xdr:colOff>161925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ERITO">
              <a:extLst>
                <a:ext uri="{FF2B5EF4-FFF2-40B4-BE49-F238E27FC236}">
                  <a16:creationId xmlns:a16="http://schemas.microsoft.com/office/drawing/2014/main" id="{6012B047-AF4C-447A-987A-63427D234A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184785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6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">
              <a:extLst>
                <a:ext uri="{FF2B5EF4-FFF2-40B4-BE49-F238E27FC236}">
                  <a16:creationId xmlns:a16="http://schemas.microsoft.com/office/drawing/2014/main" id="{245D1AB8-3318-469B-A27D-51C499AAAB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182880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3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TATUS">
              <a:extLst>
                <a:ext uri="{FF2B5EF4-FFF2-40B4-BE49-F238E27FC236}">
                  <a16:creationId xmlns:a16="http://schemas.microsoft.com/office/drawing/2014/main" id="{41C8C79D-F9D0-439C-BE20-30C95EE132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18288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3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EGURADORA">
              <a:extLst>
                <a:ext uri="{FF2B5EF4-FFF2-40B4-BE49-F238E27FC236}">
                  <a16:creationId xmlns:a16="http://schemas.microsoft.com/office/drawing/2014/main" id="{F4CC95D8-FF9D-450B-BCBD-5FA28BF376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190500</xdr:colOff>
      <xdr:row>1</xdr:row>
      <xdr:rowOff>95251</xdr:rowOff>
    </xdr:from>
    <xdr:to>
      <xdr:col>13</xdr:col>
      <xdr:colOff>133350</xdr:colOff>
      <xdr:row>14</xdr:row>
      <xdr:rowOff>171451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CF1AAD4-BAB7-4202-85BA-BBFA927EB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219075</xdr:colOff>
      <xdr:row>1</xdr:row>
      <xdr:rowOff>76200</xdr:rowOff>
    </xdr:from>
    <xdr:to>
      <xdr:col>19</xdr:col>
      <xdr:colOff>495300</xdr:colOff>
      <xdr:row>14</xdr:row>
      <xdr:rowOff>57150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7A090452-CF98-4DF6-9129-985341EE5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28573</xdr:colOff>
      <xdr:row>0</xdr:row>
      <xdr:rowOff>47625</xdr:rowOff>
    </xdr:from>
    <xdr:to>
      <xdr:col>0</xdr:col>
      <xdr:colOff>1304924</xdr:colOff>
      <xdr:row>0</xdr:row>
      <xdr:rowOff>342900</xdr:rowOff>
    </xdr:to>
    <xdr:sp macro="[0]!AtualizarA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6F4AA3-EE83-4CD0-80A3-8405272D5D64}"/>
            </a:ext>
          </a:extLst>
        </xdr:cNvPr>
        <xdr:cNvSpPr/>
      </xdr:nvSpPr>
      <xdr:spPr>
        <a:xfrm>
          <a:off x="3590923" y="47625"/>
          <a:ext cx="1276351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66675</xdr:rowOff>
    </xdr:from>
    <xdr:to>
      <xdr:col>17</xdr:col>
      <xdr:colOff>1181101</xdr:colOff>
      <xdr:row>0</xdr:row>
      <xdr:rowOff>361950</xdr:rowOff>
    </xdr:to>
    <xdr:sp macro="[0]!AtualizarSegurado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AB52F54-0EAE-4C44-8D80-F06A02133720}"/>
            </a:ext>
          </a:extLst>
        </xdr:cNvPr>
        <xdr:cNvSpPr/>
      </xdr:nvSpPr>
      <xdr:spPr>
        <a:xfrm>
          <a:off x="17859375" y="66675"/>
          <a:ext cx="1171576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506200" y="47625"/>
          <a:ext cx="5048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553825" y="47625"/>
          <a:ext cx="5048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590550</xdr:colOff>
      <xdr:row>0</xdr:row>
      <xdr:rowOff>57150</xdr:rowOff>
    </xdr:from>
    <xdr:to>
      <xdr:col>26</xdr:col>
      <xdr:colOff>523875</xdr:colOff>
      <xdr:row>0</xdr:row>
      <xdr:rowOff>390525</xdr:rowOff>
    </xdr:to>
    <xdr:sp macro="[0]!FiltroPericia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BDDBD34-A36D-463A-B784-6133494CC41C}"/>
            </a:ext>
          </a:extLst>
        </xdr:cNvPr>
        <xdr:cNvSpPr/>
      </xdr:nvSpPr>
      <xdr:spPr>
        <a:xfrm>
          <a:off x="8658225" y="57150"/>
          <a:ext cx="5429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1</xdr:col>
      <xdr:colOff>76200</xdr:colOff>
      <xdr:row>0</xdr:row>
      <xdr:rowOff>57150</xdr:rowOff>
    </xdr:from>
    <xdr:to>
      <xdr:col>1</xdr:col>
      <xdr:colOff>504825</xdr:colOff>
      <xdr:row>0</xdr:row>
      <xdr:rowOff>352425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908102A0-01DA-445A-9F13-B93B2EAEF7C1}"/>
            </a:ext>
          </a:extLst>
        </xdr:cNvPr>
        <xdr:cNvSpPr/>
      </xdr:nvSpPr>
      <xdr:spPr>
        <a:xfrm rot="10800000">
          <a:off x="76200" y="5715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762001</xdr:colOff>
      <xdr:row>0</xdr:row>
      <xdr:rowOff>66675</xdr:rowOff>
    </xdr:from>
    <xdr:to>
      <xdr:col>19</xdr:col>
      <xdr:colOff>276226</xdr:colOff>
      <xdr:row>0</xdr:row>
      <xdr:rowOff>400050</xdr:rowOff>
    </xdr:to>
    <xdr:sp macro="[0]!FiltroPenho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E562443-415B-4051-AC1C-EBFEBE2DEF94}"/>
            </a:ext>
          </a:extLst>
        </xdr:cNvPr>
        <xdr:cNvSpPr/>
      </xdr:nvSpPr>
      <xdr:spPr>
        <a:xfrm>
          <a:off x="10353676" y="66675"/>
          <a:ext cx="74295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2</xdr:col>
      <xdr:colOff>95250</xdr:colOff>
      <xdr:row>0</xdr:row>
      <xdr:rowOff>57150</xdr:rowOff>
    </xdr:from>
    <xdr:to>
      <xdr:col>2</xdr:col>
      <xdr:colOff>523875</xdr:colOff>
      <xdr:row>0</xdr:row>
      <xdr:rowOff>352425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9BDEE6ED-506D-474D-9B86-306A92E2ACB5}"/>
            </a:ext>
          </a:extLst>
        </xdr:cNvPr>
        <xdr:cNvSpPr/>
      </xdr:nvSpPr>
      <xdr:spPr>
        <a:xfrm rot="10800000">
          <a:off x="95250" y="5715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47.487015393519" createdVersion="6" refreshedVersion="6" minRefreshableVersion="3" recordCount="9" xr:uid="{DF16F052-B3E1-466F-BB5A-3079F71561C7}">
  <cacheSource type="worksheet">
    <worksheetSource name="Tabela8"/>
  </cacheSource>
  <cacheFields count="18">
    <cacheField name="PERITO" numFmtId="0">
      <sharedItems containsMixedTypes="1" containsNumber="1" containsInteger="1" minValue="1" maxValue="1" count="4">
        <s v="Vinicius"/>
        <s v="Cleiton"/>
        <s v="Marcilio"/>
        <n v="1" u="1"/>
      </sharedItems>
    </cacheField>
    <cacheField name="SINISTRO" numFmtId="0">
      <sharedItems containsSemiMixedTypes="0" containsString="0" containsNumber="1" containsInteger="1" minValue="2" maxValue="987" count="4">
        <n v="45"/>
        <n v="987"/>
        <n v="785"/>
        <n v="2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14">
      <sharedItems containsSemiMixedTypes="0" containsNonDate="0" containsDate="1" containsString="0" containsMixedTypes="1" minDate="2020-01-01T00:00:00" maxDate="1899-12-31T00:17:04" count="4">
        <d v="2020-01-01T00:00:00"/>
        <d v="2021-07-02T00:00:00"/>
        <d v="2021-02-07T00:00:00"/>
        <n v="4" u="1"/>
      </sharedItems>
    </cacheField>
    <cacheField name=" HONORÁRIO R$ " numFmtId="0">
      <sharedItems containsMixedTypes="1" containsNumber="1" containsInteger="1" minValue="2" maxValue="10" count="8">
        <s v="602,10"/>
        <s v="1710,1"/>
        <s v="10,00"/>
        <s v="12,00"/>
        <s v="2,00"/>
        <n v="2"/>
        <n v="10"/>
        <n v="5" u="1"/>
      </sharedItems>
    </cacheField>
    <cacheField name="VALOR KM R$" numFmtId="0">
      <sharedItems containsMixedTypes="1" containsNumber="1" containsInteger="1" minValue="1" maxValue="50" count="7">
        <n v="11"/>
        <s v="2,1"/>
        <s v="650,00"/>
        <s v="50,00"/>
        <n v="50"/>
        <n v="1"/>
        <n v="6" u="1"/>
      </sharedItems>
    </cacheField>
    <cacheField name="HOTEL" numFmtId="0">
      <sharedItems containsBlank="1" containsMixedTypes="1" containsNumber="1" containsInteger="1" minValue="1" maxValue="32" count="7">
        <n v="11"/>
        <s v="50,00"/>
        <m/>
        <s v="32,00"/>
        <n v="32"/>
        <n v="1"/>
        <n v="7" u="1"/>
      </sharedItems>
    </cacheField>
    <cacheField name="REFEIÇÃO" numFmtId="0">
      <sharedItems containsBlank="1" containsMixedTypes="1" containsNumber="1" containsInteger="1" minValue="1" maxValue="223" count="7">
        <n v="223"/>
        <s v="30,00"/>
        <m/>
        <s v="14,00"/>
        <n v="14"/>
        <n v="1"/>
        <n v="8" u="1"/>
      </sharedItems>
    </cacheField>
    <cacheField name=" PEDÁGIO " numFmtId="0">
      <sharedItems containsMixedTypes="1" containsNumber="1" containsInteger="1" minValue="1" maxValue="223" count="6">
        <n v="223"/>
        <s v="15,00"/>
        <s v="30,00"/>
        <n v="30"/>
        <n v="1"/>
        <n v="9" u="1"/>
      </sharedItems>
    </cacheField>
    <cacheField name="PASSAGEM ÁERA" numFmtId="0">
      <sharedItems containsMixedTypes="1" containsNumber="1" containsInteger="1" minValue="1" maxValue="11" count="6">
        <n v="11"/>
        <s v="32,00"/>
        <s v="18,00"/>
        <s v="1,00"/>
        <n v="1"/>
        <n v="10" u="1"/>
      </sharedItems>
    </cacheField>
    <cacheField name="ALUGUEL CARRO" numFmtId="0">
      <sharedItems containsMixedTypes="1" containsNumber="1" minValue="1" maxValue="352.1"/>
    </cacheField>
    <cacheField name="OUTROS " numFmtId="0">
      <sharedItems containsMixedTypes="1" containsNumber="1" containsInteger="1" minValue="1" maxValue="12" count="5">
        <n v="11"/>
        <s v="1,00"/>
        <s v="20,00"/>
        <n v="1"/>
        <n v="12" u="1"/>
      </sharedItems>
    </cacheField>
    <cacheField name=" TOTAL " numFmtId="0">
      <sharedItems containsMixedTypes="1" containsNumber="1" minValue="13" maxValue="462.1" count="7">
        <n v="223"/>
        <s v="352,10"/>
        <s v="719,00"/>
        <s v="462,10"/>
        <n v="462.1"/>
        <n v="16"/>
        <n v="13" u="1"/>
      </sharedItems>
    </cacheField>
    <cacheField name="DT LANCAMENTO" numFmtId="14">
      <sharedItems containsSemiMixedTypes="0" containsNonDate="0" containsDate="1" containsString="0" minDate="2021-02-07T00:00:00" maxDate="2021-02-08T00:00:00"/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3">
        <s v="Liquidado"/>
        <s v="Aberto"/>
        <n v="16" u="1"/>
      </sharedItems>
    </cacheField>
    <cacheField name="DT RECEBIMENTO" numFmtId="14">
      <sharedItems containsSemiMixedTypes="0" containsNonDate="0" containsDate="1" containsString="0" containsMixedTypes="1" minDate="2021-02-07T00:00:00" maxDate="1899-12-31T00:50:04" count="3">
        <d v="2021-02-07T00:00:00"/>
        <d v="2021-02-20T00:00:00"/>
        <n v="17" u="1"/>
      </sharedItems>
    </cacheField>
    <cacheField name="SEGURADORA" numFmtId="0">
      <sharedItems containsMixedTypes="1" containsNumber="1" containsInteger="1" minValue="18" maxValue="18" count="6">
        <s v="Banco do Brasil"/>
        <s v="Bradesco"/>
        <s v="Itau"/>
        <s v="Porto Seguro"/>
        <s v="Liberty"/>
        <n v="18" u="1"/>
      </sharedItems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48.606218402776" createdVersion="6" refreshedVersion="6" minRefreshableVersion="3" recordCount="9" xr:uid="{7B502008-5D5A-48CC-8B86-B74337E87696}">
  <cacheSource type="worksheet">
    <worksheetSource name="Tabela7"/>
  </cacheSource>
  <cacheFields count="18">
    <cacheField name="PERITO" numFmtId="0">
      <sharedItems containsBlank="1" count="5">
        <s v="Cleiton"/>
        <s v="Vinicius"/>
        <s v="Marcilio"/>
        <s v="Marcos"/>
        <m u="1"/>
      </sharedItems>
    </cacheField>
    <cacheField name="SINISTRO" numFmtId="0">
      <sharedItems containsSemiMixedTypes="0" containsString="0" containsNumber="1" containsInteger="1" minValue="1" maxValue="45" count="2">
        <n v="1"/>
        <n v="45"/>
      </sharedItems>
    </cacheField>
    <cacheField name="APOLICE" numFmtId="0">
      <sharedItems containsString="0" containsBlank="1" containsNumber="1" containsInteger="1" minValue="3" maxValue="3" count="2">
        <n v="3"/>
        <m/>
      </sharedItems>
    </cacheField>
    <cacheField name="DT VISTORIA" numFmtId="14">
      <sharedItems containsSemiMixedTypes="0" containsNonDate="0" containsDate="1" containsString="0" minDate="2020-01-01T00:00:00" maxDate="2020-02-03T00:00:00" count="2">
        <d v="2020-02-02T00:00:00"/>
        <d v="2020-01-01T00:00:00"/>
      </sharedItems>
    </cacheField>
    <cacheField name="HONORÁRIO R$ " numFmtId="44">
      <sharedItems containsSemiMixedTypes="0" containsString="0" containsNumber="1" minValue="100" maxValue="1710.1" count="6">
        <n v="100"/>
        <n v="600"/>
        <n v="120"/>
        <n v="223"/>
        <n v="602.1"/>
        <n v="1710.1"/>
      </sharedItems>
    </cacheField>
    <cacheField name="VALOR KM R$" numFmtId="44">
      <sharedItems containsSemiMixedTypes="0" containsString="0" containsNumber="1" containsInteger="1" minValue="11" maxValue="252" count="3">
        <n v="100"/>
        <n v="252"/>
        <n v="11"/>
      </sharedItems>
    </cacheField>
    <cacheField name="HOTEL" numFmtId="44">
      <sharedItems containsSemiMixedTypes="0" containsString="0" containsNumber="1" containsInteger="1" minValue="4" maxValue="11" count="2">
        <n v="4"/>
        <n v="11"/>
      </sharedItems>
    </cacheField>
    <cacheField name="REFEIÇÃO" numFmtId="44">
      <sharedItems containsSemiMixedTypes="0" containsString="0" containsNumber="1" minValue="5" maxValue="1710.1" count="4">
        <n v="5"/>
        <n v="223"/>
        <n v="602.1"/>
        <n v="1710.1"/>
      </sharedItems>
    </cacheField>
    <cacheField name="PEDÁGIO " numFmtId="44">
      <sharedItems containsSemiMixedTypes="0" containsString="0" containsNumber="1" minValue="2" maxValue="1710.1" count="4">
        <n v="2"/>
        <n v="223"/>
        <n v="602.1"/>
        <n v="1710.1"/>
      </sharedItems>
    </cacheField>
    <cacheField name="PASSAGEM ÁERA" numFmtId="44">
      <sharedItems containsSemiMixedTypes="0" containsString="0" containsNumber="1" containsInteger="1" minValue="8" maxValue="11" count="2">
        <n v="8"/>
        <n v="11"/>
      </sharedItems>
    </cacheField>
    <cacheField name="ALUGUEL CARRO " numFmtId="44">
      <sharedItems containsSemiMixedTypes="0" containsString="0" containsNumber="1" minValue="9" maxValue="1710.1" count="4">
        <n v="9"/>
        <n v="602.1"/>
        <n v="1710.1"/>
        <n v="223"/>
      </sharedItems>
    </cacheField>
    <cacheField name="OUTROS " numFmtId="44">
      <sharedItems containsSemiMixedTypes="0" containsString="0" containsNumber="1" containsInteger="1" minValue="6" maxValue="11" count="2">
        <n v="6"/>
        <n v="11"/>
      </sharedItems>
    </cacheField>
    <cacheField name=" TOTAL " numFmtId="44">
      <sharedItems containsSemiMixedTypes="0" containsString="0" containsNumber="1" minValue="135" maxValue="1710.1" count="3">
        <n v="135"/>
        <n v="1710.1"/>
        <n v="223"/>
      </sharedItems>
    </cacheField>
    <cacheField name="DT LANCAMENTO" numFmtId="14">
      <sharedItems containsSemiMixedTypes="0" containsNonDate="0" containsDate="1" containsString="0" minDate="2021-02-07T00:00:00" maxDate="2021-02-08T00:00:00"/>
    </cacheField>
    <cacheField name="TIPO" numFmtId="0">
      <sharedItems containsBlank="1" count="3">
        <s v="Penhor"/>
        <s v="Pericia"/>
        <m u="1"/>
      </sharedItems>
    </cacheField>
    <cacheField name="STATUS" numFmtId="0">
      <sharedItems containsBlank="1" count="3">
        <s v="Liquidado"/>
        <s v="Aberto"/>
        <m u="1"/>
      </sharedItems>
    </cacheField>
    <cacheField name="DT PAGAMENTO" numFmtId="14">
      <sharedItems containsSemiMixedTypes="0" containsNonDate="0" containsDate="1" containsString="0" minDate="2021-02-19T00:00:00" maxDate="2021-02-20T00:00:00"/>
    </cacheField>
    <cacheField name="SEGURADORA" numFmtId="0">
      <sharedItems containsBlank="1" count="3">
        <s v="Banco do Brasil"/>
        <s v="Bradesco"/>
        <m u="1"/>
      </sharedItems>
    </cacheField>
  </cacheFields>
  <extLst>
    <ext xmlns:x14="http://schemas.microsoft.com/office/spreadsheetml/2009/9/main" uri="{725AE2AE-9491-48be-B2B4-4EB974FC3084}">
      <x14:pivotCacheDefinition pivotCacheId="14730548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  <n v="223"/>
    <x v="0"/>
    <x v="0"/>
    <d v="2021-02-07T00:00:00"/>
    <x v="0"/>
    <x v="0"/>
    <x v="0"/>
    <x v="0"/>
  </r>
  <r>
    <x v="0"/>
    <x v="0"/>
    <x v="0"/>
    <x v="0"/>
    <x v="1"/>
    <x v="0"/>
    <x v="0"/>
    <x v="0"/>
    <x v="0"/>
    <x v="0"/>
    <n v="223"/>
    <x v="0"/>
    <x v="0"/>
    <d v="2021-02-07T00:00:00"/>
    <x v="1"/>
    <x v="0"/>
    <x v="0"/>
    <x v="1"/>
  </r>
  <r>
    <x v="1"/>
    <x v="0"/>
    <x v="0"/>
    <x v="0"/>
    <x v="1"/>
    <x v="0"/>
    <x v="0"/>
    <x v="0"/>
    <x v="0"/>
    <x v="0"/>
    <n v="223"/>
    <x v="0"/>
    <x v="0"/>
    <d v="2021-02-07T00:00:00"/>
    <x v="1"/>
    <x v="0"/>
    <x v="1"/>
    <x v="0"/>
  </r>
  <r>
    <x v="0"/>
    <x v="0"/>
    <x v="0"/>
    <x v="0"/>
    <x v="2"/>
    <x v="1"/>
    <x v="1"/>
    <x v="1"/>
    <x v="1"/>
    <x v="1"/>
    <s v="14,00"/>
    <x v="1"/>
    <x v="1"/>
    <d v="2021-02-07T00:00:00"/>
    <x v="1"/>
    <x v="1"/>
    <x v="0"/>
    <x v="1"/>
  </r>
  <r>
    <x v="1"/>
    <x v="1"/>
    <x v="0"/>
    <x v="1"/>
    <x v="3"/>
    <x v="2"/>
    <x v="2"/>
    <x v="2"/>
    <x v="1"/>
    <x v="2"/>
    <s v="19,00"/>
    <x v="2"/>
    <x v="2"/>
    <d v="2021-02-07T00:00:00"/>
    <x v="0"/>
    <x v="1"/>
    <x v="0"/>
    <x v="2"/>
  </r>
  <r>
    <x v="2"/>
    <x v="0"/>
    <x v="0"/>
    <x v="0"/>
    <x v="4"/>
    <x v="3"/>
    <x v="3"/>
    <x v="3"/>
    <x v="2"/>
    <x v="3"/>
    <s v="352,10"/>
    <x v="0"/>
    <x v="3"/>
    <d v="2021-02-07T00:00:00"/>
    <x v="0"/>
    <x v="0"/>
    <x v="0"/>
    <x v="3"/>
  </r>
  <r>
    <x v="1"/>
    <x v="0"/>
    <x v="0"/>
    <x v="0"/>
    <x v="5"/>
    <x v="4"/>
    <x v="4"/>
    <x v="4"/>
    <x v="3"/>
    <x v="4"/>
    <n v="352.1"/>
    <x v="0"/>
    <x v="4"/>
    <d v="2021-02-07T00:00:00"/>
    <x v="0"/>
    <x v="1"/>
    <x v="0"/>
    <x v="4"/>
  </r>
  <r>
    <x v="1"/>
    <x v="2"/>
    <x v="0"/>
    <x v="2"/>
    <x v="6"/>
    <x v="5"/>
    <x v="5"/>
    <x v="5"/>
    <x v="4"/>
    <x v="4"/>
    <n v="1"/>
    <x v="3"/>
    <x v="5"/>
    <d v="2021-02-07T00:00:00"/>
    <x v="0"/>
    <x v="1"/>
    <x v="0"/>
    <x v="4"/>
  </r>
  <r>
    <x v="0"/>
    <x v="0"/>
    <x v="0"/>
    <x v="0"/>
    <x v="0"/>
    <x v="0"/>
    <x v="0"/>
    <x v="0"/>
    <x v="0"/>
    <x v="0"/>
    <n v="223"/>
    <x v="0"/>
    <x v="0"/>
    <d v="2021-02-07T00:00:0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  <x v="0"/>
    <x v="0"/>
    <x v="0"/>
    <d v="2021-02-07T00:00:00"/>
    <x v="0"/>
    <x v="0"/>
    <d v="2021-02-19T00:00:00"/>
    <x v="0"/>
  </r>
  <r>
    <x v="1"/>
    <x v="1"/>
    <x v="1"/>
    <x v="1"/>
    <x v="1"/>
    <x v="1"/>
    <x v="1"/>
    <x v="1"/>
    <x v="1"/>
    <x v="1"/>
    <x v="1"/>
    <x v="1"/>
    <x v="1"/>
    <d v="2021-02-07T00:00:00"/>
    <x v="0"/>
    <x v="0"/>
    <d v="2021-02-19T00:00:00"/>
    <x v="0"/>
  </r>
  <r>
    <x v="0"/>
    <x v="1"/>
    <x v="1"/>
    <x v="1"/>
    <x v="2"/>
    <x v="2"/>
    <x v="1"/>
    <x v="2"/>
    <x v="1"/>
    <x v="1"/>
    <x v="2"/>
    <x v="1"/>
    <x v="2"/>
    <d v="2021-02-07T00:00:00"/>
    <x v="1"/>
    <x v="0"/>
    <d v="2021-02-19T00:00:00"/>
    <x v="0"/>
  </r>
  <r>
    <x v="0"/>
    <x v="1"/>
    <x v="1"/>
    <x v="1"/>
    <x v="3"/>
    <x v="2"/>
    <x v="1"/>
    <x v="3"/>
    <x v="2"/>
    <x v="1"/>
    <x v="3"/>
    <x v="1"/>
    <x v="2"/>
    <d v="2021-02-07T00:00:00"/>
    <x v="0"/>
    <x v="0"/>
    <d v="2021-02-19T00:00:00"/>
    <x v="0"/>
  </r>
  <r>
    <x v="2"/>
    <x v="1"/>
    <x v="1"/>
    <x v="1"/>
    <x v="3"/>
    <x v="2"/>
    <x v="1"/>
    <x v="1"/>
    <x v="3"/>
    <x v="1"/>
    <x v="3"/>
    <x v="1"/>
    <x v="2"/>
    <d v="2021-02-07T00:00:00"/>
    <x v="0"/>
    <x v="1"/>
    <d v="2021-02-19T00:00:00"/>
    <x v="0"/>
  </r>
  <r>
    <x v="0"/>
    <x v="1"/>
    <x v="1"/>
    <x v="1"/>
    <x v="3"/>
    <x v="2"/>
    <x v="1"/>
    <x v="1"/>
    <x v="3"/>
    <x v="1"/>
    <x v="3"/>
    <x v="1"/>
    <x v="2"/>
    <d v="2021-02-07T00:00:00"/>
    <x v="0"/>
    <x v="0"/>
    <d v="2021-02-19T00:00:00"/>
    <x v="0"/>
  </r>
  <r>
    <x v="3"/>
    <x v="1"/>
    <x v="1"/>
    <x v="1"/>
    <x v="4"/>
    <x v="2"/>
    <x v="1"/>
    <x v="1"/>
    <x v="1"/>
    <x v="1"/>
    <x v="3"/>
    <x v="1"/>
    <x v="2"/>
    <d v="2021-02-07T00:00:00"/>
    <x v="0"/>
    <x v="1"/>
    <d v="2021-02-19T00:00:00"/>
    <x v="0"/>
  </r>
  <r>
    <x v="0"/>
    <x v="1"/>
    <x v="1"/>
    <x v="1"/>
    <x v="5"/>
    <x v="2"/>
    <x v="1"/>
    <x v="1"/>
    <x v="1"/>
    <x v="1"/>
    <x v="3"/>
    <x v="1"/>
    <x v="2"/>
    <d v="2021-02-07T00:00:00"/>
    <x v="0"/>
    <x v="1"/>
    <d v="2021-02-19T00:00:00"/>
    <x v="0"/>
  </r>
  <r>
    <x v="3"/>
    <x v="1"/>
    <x v="1"/>
    <x v="1"/>
    <x v="5"/>
    <x v="2"/>
    <x v="1"/>
    <x v="1"/>
    <x v="1"/>
    <x v="1"/>
    <x v="3"/>
    <x v="1"/>
    <x v="2"/>
    <d v="2021-02-07T00:00:00"/>
    <x v="0"/>
    <x v="1"/>
    <d v="2021-02-19T00:00: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EF324-FBB6-412B-80A0-A89E290A4FBC}" name="Tabela dinâmica1" cacheId="19" applyNumberFormats="0" applyBorderFormats="0" applyFontFormats="0" applyPatternFormats="0" applyAlignmentFormats="0" applyWidthHeightFormats="1" dataCaption="Valores" updatedVersion="6" minRefreshableVersion="5" useAutoFormatting="1" rowGrandTotals="0" colGrandTotals="0" itemPrintTitles="1" createdVersion="6" indent="0" compact="0" compactData="0" multipleFieldFilters="0">
  <location ref="A2:P11" firstHeaderRow="1" firstDataRow="1" firstDataCol="16"/>
  <pivotFields count="18">
    <pivotField axis="axisRow" compact="0" outline="0" showAll="0" defaultSubtotal="0">
      <items count="5">
        <item x="0"/>
        <item x="2"/>
        <item x="3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1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1"/>
    <field x="10"/>
    <field x="1"/>
    <field x="2"/>
    <field x="3"/>
    <field x="4"/>
    <field x="5"/>
    <field x="6"/>
    <field x="7"/>
    <field x="8"/>
    <field x="9"/>
    <field x="12"/>
    <field x="14"/>
    <field x="15"/>
    <field x="17"/>
  </rowFields>
  <rowItems count="9">
    <i>
      <x/>
      <x/>
      <x/>
      <x/>
      <x/>
      <x/>
      <x/>
      <x v="1"/>
      <x/>
      <x/>
      <x/>
      <x/>
      <x/>
      <x/>
      <x v="1"/>
      <x/>
    </i>
    <i r="1">
      <x v="1"/>
      <x v="1"/>
      <x v="1"/>
      <x v="1"/>
      <x v="1"/>
      <x v="2"/>
      <x/>
      <x v="1"/>
      <x v="1"/>
      <x v="3"/>
      <x v="1"/>
      <x v="1"/>
      <x/>
      <x v="1"/>
      <x/>
    </i>
    <i r="9">
      <x v="3"/>
      <x v="2"/>
      <x v="1"/>
      <x v="1"/>
      <x/>
      <x v="1"/>
      <x/>
    </i>
    <i r="6">
      <x v="5"/>
      <x/>
      <x v="1"/>
      <x v="1"/>
      <x v="1"/>
      <x v="1"/>
      <x v="1"/>
      <x/>
      <x/>
      <x/>
    </i>
    <i r="2">
      <x v="3"/>
      <x v="1"/>
      <x v="1"/>
      <x v="1"/>
      <x v="1"/>
      <x/>
      <x v="1"/>
      <x v="2"/>
      <x v="1"/>
      <x v="1"/>
      <x v="1"/>
      <x v="1"/>
      <x v="1"/>
      <x/>
    </i>
    <i>
      <x v="1"/>
      <x v="1"/>
      <x v="1"/>
      <x v="1"/>
      <x v="1"/>
      <x v="1"/>
      <x v="2"/>
      <x/>
      <x v="1"/>
      <x v="1"/>
      <x v="3"/>
      <x v="1"/>
      <x v="1"/>
      <x/>
      <x/>
      <x/>
    </i>
    <i>
      <x v="2"/>
      <x v="1"/>
      <x v="1"/>
      <x v="1"/>
      <x v="1"/>
      <x v="1"/>
      <x v="4"/>
      <x/>
      <x v="1"/>
      <x v="1"/>
      <x v="1"/>
      <x v="1"/>
      <x v="1"/>
      <x/>
      <x/>
      <x/>
    </i>
    <i r="6">
      <x v="5"/>
      <x/>
      <x v="1"/>
      <x v="1"/>
      <x v="1"/>
      <x v="1"/>
      <x v="1"/>
      <x/>
      <x/>
      <x v="1"/>
    </i>
    <i>
      <x v="3"/>
      <x v="1"/>
      <x v="2"/>
      <x v="1"/>
      <x v="1"/>
      <x v="1"/>
      <x v="3"/>
      <x v="2"/>
      <x v="1"/>
      <x v="1"/>
      <x v="1"/>
      <x v="1"/>
      <x v="2"/>
      <x/>
      <x v="1"/>
      <x/>
    </i>
  </rowItem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95FB94-5C65-4E95-BB7B-35E23052679F}" name="Tabela dinâmica2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2:P10" firstHeaderRow="1" firstDataRow="1" firstDataCol="16"/>
  <pivotFields count="18">
    <pivotField axis="axisRow" compact="0" outline="0" showAll="0" defaultSubtotal="0">
      <items count="4">
        <item x="1"/>
        <item x="0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5"/>
        <item x="6"/>
        <item x="2"/>
        <item x="3"/>
        <item x="1"/>
        <item x="4"/>
        <item x="0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0"/>
        <item x="4"/>
        <item x="1"/>
        <item x="3"/>
        <item x="2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0"/>
        <item x="4"/>
        <item x="3"/>
        <item x="1"/>
        <item x="2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4"/>
        <item x="0"/>
        <item x="3"/>
        <item x="1"/>
        <item x="2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3"/>
        <item x="0"/>
        <item x="1"/>
        <item x="2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0"/>
        <item x="3"/>
        <item x="2"/>
        <item x="1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3"/>
        <item x="0"/>
        <item x="1"/>
        <item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0"/>
        <item x="4"/>
        <item x="1"/>
        <item x="3"/>
        <item x="2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2"/>
        <item x="3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"/>
    <field x="2"/>
    <field x="3"/>
    <field x="4"/>
    <field x="5"/>
    <field x="6"/>
    <field x="7"/>
    <field x="8"/>
    <field x="9"/>
    <field x="11"/>
    <field x="12"/>
    <field x="14"/>
    <field x="15"/>
    <field x="16"/>
    <field x="17"/>
  </rowFields>
  <rowItems count="8">
    <i>
      <x/>
      <x/>
      <x/>
      <x/>
      <x/>
      <x v="2"/>
      <x v="2"/>
      <x v="1"/>
      <x v="1"/>
      <x/>
      <x v="1"/>
      <x v="2"/>
      <x/>
      <x/>
      <x/>
      <x v="4"/>
    </i>
    <i r="4">
      <x v="4"/>
      <x v="1"/>
      <x v="1"/>
      <x v="2"/>
      <x v="2"/>
      <x v="1"/>
      <x v="1"/>
      <x v="1"/>
      <x v="1"/>
      <x v="1"/>
      <x v="1"/>
      <x/>
    </i>
    <i r="1">
      <x v="1"/>
      <x/>
      <x v="2"/>
      <x v="1"/>
      <x/>
      <x/>
      <x/>
      <x/>
      <x/>
      <x/>
      <x/>
      <x/>
      <x/>
      <x/>
      <x v="4"/>
    </i>
    <i r="1">
      <x v="2"/>
      <x/>
      <x v="1"/>
      <x v="3"/>
      <x v="5"/>
      <x v="5"/>
      <x v="5"/>
      <x v="3"/>
      <x v="3"/>
      <x v="3"/>
      <x v="5"/>
      <x/>
      <x/>
      <x/>
      <x v="2"/>
    </i>
    <i>
      <x v="1"/>
      <x/>
      <x/>
      <x/>
      <x v="2"/>
      <x v="3"/>
      <x v="4"/>
      <x v="4"/>
      <x v="3"/>
      <x v="4"/>
      <x v="2"/>
      <x v="3"/>
      <x v="1"/>
      <x/>
      <x/>
      <x v="1"/>
    </i>
    <i r="4">
      <x v="4"/>
      <x v="1"/>
      <x v="1"/>
      <x v="2"/>
      <x v="2"/>
      <x v="1"/>
      <x v="1"/>
      <x v="1"/>
      <x v="1"/>
      <x v="1"/>
      <x/>
      <x v="1"/>
    </i>
    <i r="4">
      <x v="6"/>
      <x v="1"/>
      <x v="1"/>
      <x v="2"/>
      <x v="2"/>
      <x v="1"/>
      <x v="1"/>
      <x v="1"/>
      <x/>
      <x v="1"/>
      <x/>
      <x/>
    </i>
    <i>
      <x v="2"/>
      <x/>
      <x/>
      <x/>
      <x v="5"/>
      <x v="4"/>
      <x v="3"/>
      <x v="3"/>
      <x v="4"/>
      <x v="2"/>
      <x v="1"/>
      <x v="4"/>
      <x/>
      <x v="1"/>
      <x/>
      <x v="3"/>
    </i>
  </rowItems>
  <colItems count="1">
    <i/>
  </colItem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pivotTables>
    <pivotTable tabId="23" name="Tabela dinâmica2"/>
  </pivotTables>
  <data>
    <tabular pivotCacheId="277365764">
      <items count="4">
        <i x="1" s="1"/>
        <i x="2" s="1"/>
        <i x="0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pivotTables>
    <pivotTable tabId="23" name="Tabela dinâmica2"/>
  </pivotTables>
  <data>
    <tabular pivotCacheId="277365764">
      <items count="3">
        <i x="0" s="1"/>
        <i x="1" s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pivotTables>
    <pivotTable tabId="23" name="Tabela dinâmica2"/>
  </pivotTables>
  <data>
    <tabular pivotCacheId="277365764">
      <items count="3">
        <i x="1" s="1"/>
        <i x="0" s="1"/>
        <i x="2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pivotTables>
    <pivotTable tabId="23" name="Tabela dinâmica2"/>
  </pivotTables>
  <data>
    <tabular pivotCacheId="277365764">
      <items count="6">
        <i x="0" s="1"/>
        <i x="1" s="1"/>
        <i x="2" s="1"/>
        <i x="4" s="1"/>
        <i x="3" s="1"/>
        <i x="5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E17B6F16-4F3E-46AF-A00B-74ACD1C9D982}" sourceName="PERITO">
  <pivotTables>
    <pivotTable tabId="24" name="Tabela dinâmica1"/>
  </pivotTables>
  <data>
    <tabular pivotCacheId="1473054865">
      <items count="5">
        <i x="0" s="1"/>
        <i x="2" s="1"/>
        <i x="3" s="1"/>
        <i x="1" s="1"/>
        <i x="4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91236671-A4A4-4EBF-91DC-F6475FCBBA53}" sourceName="SEGURADORA">
  <pivotTables>
    <pivotTable tabId="24" name="Tabela dinâmica1"/>
  </pivotTables>
  <data>
    <tabular pivotCacheId="1473054865">
      <items count="3">
        <i x="0" s="1"/>
        <i x="1" s="1"/>
        <i x="2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786B7521-224E-4381-AD44-0A2A22AE7725}" sourceName="TIPO">
  <pivotTables>
    <pivotTable tabId="24" name="Tabela dinâmica1"/>
  </pivotTables>
  <data>
    <tabular pivotCacheId="1473054865">
      <items count="3">
        <i x="0" s="1"/>
        <i x="1" s="1"/>
        <i x="2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29B06F0F-27F2-40B5-96EF-5C7E837E308E}" sourceName="STATUS">
  <pivotTables>
    <pivotTable tabId="24" name="Tabela dinâmica1"/>
  </pivotTables>
  <data>
    <tabular pivotCacheId="1473054865">
      <items count="3">
        <i x="1" s="1"/>
        <i x="0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2" xr10:uid="{A6D8974E-3355-4940-960D-C3DBC91AA141}" cache="SegmentaçãodeDados_PERITO1" caption="PERITO" style="SlicerStyleLight6" rowHeight="241300"/>
  <slicer name="SEGURADORA 2" xr10:uid="{8A04BEBF-76EF-421B-820E-54D2DE7328AE}" cache="SegmentaçãodeDados_SEGURADORA1" caption="SEGURADORA" style="SlicerStyleLight6" rowHeight="241300"/>
  <slicer name="TIPO 2" xr10:uid="{073BE5D8-D3AB-4804-856C-D0EB2539BF6F}" cache="SegmentaçãodeDados_TIPO1" caption="TIPO" style="SlicerStyleLight6" rowHeight="241300"/>
  <slicer name="STATUS 2" xr10:uid="{2C764CCE-CF9D-4465-AEDA-759A844C7C48}" cache="SegmentaçãodeDados_STATUS1" caption="STATUS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 3" xr10:uid="{E75017A2-69E2-4ACB-A8B6-CC9C94FCB2E7}" cache="SegmentaçãodeDados_PERITO1" caption="PERITO" style="SlicerStyleLight6" rowHeight="241300"/>
  <slicer name="SEGURADORA 3" xr10:uid="{201E2C9C-8E46-4897-9722-710DB67A85EB}" cache="SegmentaçãodeDados_SEGURADORA1" caption="SEGURADORA" style="SlicerStyleLight6" rowHeight="241300"/>
  <slicer name="TIPO 3" xr10:uid="{58F27676-E31D-483E-A396-94836B97769A}" cache="SegmentaçãodeDados_TIPO1" caption="TIPO" style="SlicerStyleLight6" rowHeight="241300"/>
  <slicer name="STATUS 3" xr10:uid="{154761C7-6222-489B-B223-851579B36474}" cache="SegmentaçãodeDados_STATUS1" caption="STATUS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3EBC01E8-439D-434E-8064-7246F64D3D5B}" cache="SegmentaçãodeDados_PERITO" caption="PERITO" style="SlicerStyleLight6" rowHeight="241300"/>
  <slicer name="TIPO" xr10:uid="{8E119607-6B7F-4FC8-B075-3CBE0FCF128D}" cache="SegmentaçãodeDados_TIPO" caption="TIPO" style="SlicerStyleLight6" rowHeight="241300"/>
  <slicer name="STATUS" xr10:uid="{8BA83158-8E79-4FDF-9D07-8B57432028F7}" cache="SegmentaçãodeDados_STATUS" caption="STATUS" style="SlicerStyleLight6" rowHeight="241300"/>
  <slicer name="SEGURADORA" xr10:uid="{3A73EEF1-378F-4A0B-AC67-1D18FD4336DF}" cache="SegmentaçãodeDados_SEGURADORA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R10" totalsRowShown="0" headerRowDxfId="28" headerRowBorderDxfId="27" tableBorderDxfId="26" headerRowCellStyle="Moeda">
  <tableColumns count="18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/>
    <tableColumn id="1" xr3:uid="{77AE40CE-3180-4CA9-AF9A-E8E268E57070}" name="HONORÁRIO R$ " dataCellStyle="Moeda"/>
    <tableColumn id="2" xr3:uid="{6F9E0BA6-9BFB-48EC-81A9-18A0C396E8C9}" name="VALOR KM R$" dataCellStyle="Moeda"/>
    <tableColumn id="3" xr3:uid="{EFD808ED-DC52-4A8B-8292-EEE34A3916AF}" name="HOTEL" dataCellStyle="Moeda"/>
    <tableColumn id="4" xr3:uid="{BFA1101A-73FE-46DC-B3F1-F20D674333D9}" name="REFEIÇÃO" dataCellStyle="Moeda"/>
    <tableColumn id="5" xr3:uid="{2AB446A3-0EB9-4068-9FF5-68786833A420}" name="PEDÁGIO " dataCellStyle="Moeda"/>
    <tableColumn id="6" xr3:uid="{7C7FA53D-199C-4600-B839-1C253EB0843B}" name="PASSAGEM ÁERA" dataCellStyle="Moeda"/>
    <tableColumn id="7" xr3:uid="{5487AAEC-0686-4909-95E7-E3F065BAE407}" name="ALUGUEL CARRO " dataCellStyle="Moeda"/>
    <tableColumn id="8" xr3:uid="{6E97A9B3-7F8F-4AD1-A51A-8D0518668E1F}" name="OUTROS " dataCellStyle="Moeda"/>
    <tableColumn id="9" xr3:uid="{345BE897-50CE-4CAF-9542-ACF3BDCA9A38}" name=" TOTAL " dataCellStyle="Moeda"/>
    <tableColumn id="10" xr3:uid="{C5ADE4FF-938E-41F2-9268-65D68FC97B10}" name="DT LANCAMENTO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R10" totalsRowShown="0" headerRowDxfId="33" headerRowBorderDxfId="32" headerRowCellStyle="Moeda">
  <tableColumns count="18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31"/>
    <tableColumn id="5" xr3:uid="{FC594FDD-E27C-412B-BCBC-53D7FF856FF3}" name=" HONORÁRIO R$ " dataCellStyle="Moeda"/>
    <tableColumn id="6" xr3:uid="{CE20EE4A-66EF-49C9-8277-0F91D4EAE8A0}" name="VALOR KM R$" dataCellStyle="Moeda"/>
    <tableColumn id="7" xr3:uid="{5DDDE08F-D634-4BC9-9259-00A68BBAA7A0}" name="HOTEL" dataCellStyle="Moeda"/>
    <tableColumn id="8" xr3:uid="{3303D9EF-E342-45CF-8457-EB7BFC724009}" name="REFEIÇÃO" dataCellStyle="Moeda"/>
    <tableColumn id="9" xr3:uid="{C7166C86-DE25-480F-BF56-18061E37717C}" name=" PEDÁGIO " dataCellStyle="Moeda"/>
    <tableColumn id="10" xr3:uid="{79AD7756-F982-40B3-A840-1D887EDE4D08}" name="PASSAGEM ÁERA" dataCellStyle="Moeda"/>
    <tableColumn id="11" xr3:uid="{763DF7A8-12FD-414C-A335-DD672F61971C}" name="ALUGUEL CARRO" dataCellStyle="Moeda"/>
    <tableColumn id="12" xr3:uid="{D92A590C-1934-4CF3-9A88-FDA9781B8EC9}" name="OUTROS " dataCellStyle="Moeda"/>
    <tableColumn id="13" xr3:uid="{3ED0E5F1-62E9-4527-B42C-2B2CF57B6AD4}" name=" TOTAL " dataCellStyle="Moeda"/>
    <tableColumn id="14" xr3:uid="{2EB34EF3-4C41-4099-9921-DB8E920647FC}" name="DT LANCAMENTO" dataDxfId="30"/>
    <tableColumn id="15" xr3:uid="{29BF7AB3-FE61-4EC2-B318-038A9A4DD5DC}" name="TIPO"/>
    <tableColumn id="18" xr3:uid="{90FC8B6A-9504-4386-8326-C2CE852CD25D}" name="STATUS"/>
    <tableColumn id="17" xr3:uid="{D0907E2A-DC54-48A0-99F7-D6729CE060FA}" name="DT RECEBIMENTO" dataDxfId="29"/>
    <tableColumn id="16" xr3:uid="{05E773C7-4F15-422B-8F54-364EAE748468}" name="SEGURADOR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Z23" totalsRowShown="0" headerRowDxfId="25" headerRowBorderDxfId="24">
  <tableColumns count="26">
    <tableColumn id="1" xr3:uid="{4CEAFE11-4BD7-40FD-A919-BB52A3784B3A}" name="DT RECEBIMENTO" dataDxfId="23"/>
    <tableColumn id="2" xr3:uid="{8D491FBA-8D6E-4D68-9169-C6C807F705B7}" name="NF"/>
    <tableColumn id="3" xr3:uid="{894BE3F1-C62B-4DDF-B040-E03CA1F61E2E}" name="DT VISTORIA " dataDxfId="22"/>
    <tableColumn id="4" xr3:uid="{3A5AA30B-7316-4054-B0A5-D3050BE0A17C}" name="DT REVISTORIA" dataDxfId="21"/>
    <tableColumn id="5" xr3:uid="{5762346C-BDE6-44E8-817C-91E54D27767E}" name="APÓLICE "/>
    <tableColumn id="24" xr3:uid="{A430FF16-32B9-4825-820C-70015B1C820E}" name="SINISTRO"/>
    <tableColumn id="6" xr3:uid="{1A60546F-FB43-46BD-B179-C75C28C7C994}" name="SEGURADO"/>
    <tableColumn id="7" xr3:uid="{06FB21F9-D567-4FEB-B23F-94CC67035500}" name="MUNICIPIO "/>
    <tableColumn id="8" xr3:uid="{F52919A1-EC7D-458F-BDD0-083E74A6B0AB}" name="UF"/>
    <tableColumn id="9" xr3:uid="{EAE99911-BF1E-458E-9B33-B85C6940677D}" name="NATUREZA DO SINISTRO"/>
    <tableColumn id="10" xr3:uid="{720F5E41-5E43-4BE6-9C8F-BE1DF20942E9}" name="PERITO "/>
    <tableColumn id="11" xr3:uid="{3A77C621-1E1E-4B9A-BEDE-3E88B249740D}" name="  HONORÁRIO R$  " dataCellStyle="Moeda"/>
    <tableColumn id="12" xr3:uid="{139A6F62-71D3-483A-A7EF-CF22C069C905}" name=" KM  "/>
    <tableColumn id="26" xr3:uid="{AEF5FE02-1FBD-4AF4-8633-C7E0C9E0B4A0}" name="KM R$" dataDxfId="20" dataCellStyle="Moeda"/>
    <tableColumn id="13" xr3:uid="{0FA3E433-9437-4ADE-B92A-336606AA0BFA}" name=" PEDÁGIO " dataCellStyle="Moeda"/>
    <tableColumn id="14" xr3:uid="{78FF7EDB-582E-42FD-9799-DD4D37C1C0BE}" name=" HOTEL " dataCellStyle="Moeda"/>
    <tableColumn id="15" xr3:uid="{B33CE678-346F-49DF-BDA4-44C123CB1EF8}" name=" REFEIÇÃO " dataCellStyle="Moeda"/>
    <tableColumn id="16" xr3:uid="{7E3D7E2A-6E12-4FB3-9C91-02FE40C27F4D}" name="PASSAGEM ÁERA" dataCellStyle="Moeda"/>
    <tableColumn id="17" xr3:uid="{AFEBA063-285D-4E1F-BD7C-E0BB8AA9BFC3}" name=" ALUGUEL CARRO " dataCellStyle="Moeda"/>
    <tableColumn id="18" xr3:uid="{80376310-22C8-4669-BBCC-9445A8931644}" name=" OUTROS " dataCellStyle="Moeda"/>
    <tableColumn id="19" xr3:uid="{6606E2F6-6FBE-42AD-B08C-73D5D56070BC}" name="  TOTAL  " dataCellStyle="Moeda"/>
    <tableColumn id="20" xr3:uid="{11BA40E0-957A-4794-828F-30F9B20B83E4}" name="SEGURADORA"/>
    <tableColumn id="27" xr3:uid="{B45D1A5B-3BB4-407A-A498-4AA20B08769B}" name="PAGTO PERITO" dataDxfId="19" dataCellStyle="Moeda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1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D13" totalsRowShown="0" headerRowDxfId="17" headerRowBorderDxfId="16">
  <tableColumns count="30">
    <tableColumn id="1" xr3:uid="{01FEB0E5-52BE-4347-BF57-CD16D27B937B}" name="DT RECEBIMENTO" dataDxfId="15"/>
    <tableColumn id="2" xr3:uid="{42D256E5-7905-43C7-B146-BAE1FF4F13EA}" name="DT VISTORIA" dataDxfId="14"/>
    <tableColumn id="3" xr3:uid="{BCCE59B5-8188-4C7C-95C2-715E226A28AA}" name="DT ENTREGA " dataDxfId="13"/>
    <tableColumn id="4" xr3:uid="{DD2FFDF0-7DCD-40B2-BE5B-713ED98D0855}" name="NF" dataDxfId="12"/>
    <tableColumn id="5" xr3:uid="{71C6BD3C-6436-486E-BD85-7935791CB966}" name="SINISTRO" dataDxfId="11"/>
    <tableColumn id="6" xr3:uid="{D289DEB5-E97A-4D43-B4F7-902CC070659C}" name="APÓLICE" dataDxfId="10"/>
    <tableColumn id="7" xr3:uid="{06DE9BC2-A40D-4D00-BB45-8E4F7789BE84}" name="PROPOSTA" dataDxfId="9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8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7"/>
    <tableColumn id="17" xr3:uid="{EE10B1C6-6DEE-4AD7-9D78-EC246389C2FB}" name="AREA VISTORIADA" dataDxfId="6"/>
    <tableColumn id="18" xr3:uid="{5ABE2B95-8B65-4067-B07B-961E86DF955C}" name="SEGURADORA"/>
    <tableColumn id="19" xr3:uid="{D6D440C8-50F6-4EC7-BDE9-2DF3AA5771DF}" name=" HONORÁRIO R$ " dataCellStyle="Moeda"/>
    <tableColumn id="20" xr3:uid="{4AD21308-937E-4761-BA5D-93DFD5876314}" name="KM RODADO PERITO"/>
    <tableColumn id="21" xr3:uid="{81790E5F-9A10-4C4F-A097-2651C71B4AB6}" name="VALOR KM R$" dataCellStyle="Moeda"/>
    <tableColumn id="22" xr3:uid="{D7762BF3-0B74-4974-8BBE-59556FD6DA92}" name="KM RODADO EMPRESA"/>
    <tableColumn id="23" xr3:uid="{57C0BB09-FF91-456C-B393-28ABAD52D8D9}" name="KM R$ EMPR" dataCellStyle="Moeda"/>
    <tableColumn id="24" xr3:uid="{9C301590-1AAD-4F79-B66A-A6728FFFD7FC}" name="HOTEL" dataCellStyle="Moeda"/>
    <tableColumn id="25" xr3:uid="{0B99CFC5-E242-496D-9958-804F0D1B521E}" name="REFEIÇÃO" dataCellStyle="Moeda"/>
    <tableColumn id="26" xr3:uid="{2F92F6FA-422E-4D4B-BB4E-BA386F7AF1C0}" name="OUTROS " dataCellStyle="Moeda"/>
    <tableColumn id="27" xr3:uid="{84553A7A-42D0-4471-AD1E-1A3BF4FEB1AD}" name=" TOTAL " dataCellStyle="Moeda"/>
    <tableColumn id="28" xr3:uid="{ED67970F-F0E5-46C6-98D9-1A7C91354E1F}" name="DT LANÇAMENTO " dataDxfId="5"/>
    <tableColumn id="30" xr3:uid="{E0E6AE81-E915-44EC-9FD2-4A51D8BDBF5F}" name="STATUS SEGURADORA" dataDxfId="4" dataCellStyle="Moeda"/>
    <tableColumn id="29" xr3:uid="{9ADDC96C-C7C9-4998-B013-EAD28F652506}" name="STATUS PERITO" dataCellStyle="Moeda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Tabela6" displayName="Tabela6" ref="A1:F8" totalsRowShown="0" headerRowDxfId="3" headerRowBorderDxfId="2">
  <autoFilter ref="A1:F8" xr:uid="{E0128D07-B018-4091-9CB3-BD39DDA972C1}"/>
  <tableColumns count="6">
    <tableColumn id="1" xr3:uid="{93640D5B-39C9-4EE3-9C9C-88CB4813A0DE}" name="CNPJ"/>
    <tableColumn id="2" xr3:uid="{ECABB9F3-3A2D-466F-A1D1-8345C75306F8}" name="NOME"/>
    <tableColumn id="3" xr3:uid="{0354E08F-99E4-4602-A856-87F2606D5542}" name="ENDEREÇO"/>
    <tableColumn id="4" xr3:uid="{791EB34D-33AD-4D81-9993-B97ED301BA3B}" name="KM R$" dataCellStyle="Moeda"/>
    <tableColumn id="5" xr3:uid="{605420F8-6CFD-43FC-98CD-F68974D03019}" name="REFEIÇÃO R$" dataCellStyle="Moeda"/>
    <tableColumn id="6" xr3:uid="{E406B1A8-FE43-4F46-B098-C8F386E557B1}" name="HOSPEDAGEM R$" dataCellStyle="Moed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5" totalsRowShown="0" headerRowDxfId="1" headerRowBorderDxfId="0">
  <autoFilter ref="A1:E5" xr:uid="{2EFAC822-781E-49A7-9E37-807F9A11773B}"/>
  <tableColumns count="5">
    <tableColumn id="1" xr3:uid="{37F6DF33-7318-454A-B809-8D15C227E196}" name="NOME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T_VISTORIA2" xr10:uid="{749DDAD8-446E-47FE-A9C2-C25491558B6A}" sourceName="DT VISTORIA">
  <pivotTables>
    <pivotTable tabId="24" name="Tabela dinâmica1"/>
  </pivotTables>
  <state minimalRefreshVersion="6" lastRefreshVersion="6" pivotCacheId="1473054865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VISTORIA" xr10:uid="{248B2831-18D4-41E5-B745-D77A42A3F15A}" cache="NativeTimeline_DT_VISTORIA2" caption="DT VISTORIA" level="2" selectionLevel="2" scrollPosition="2020-05-19T00:00:00" style="TimeSlicerStyleLight6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VISTORIA 1" xr10:uid="{E0140C97-B517-4638-A0A4-CFC96FE905B6}" cache="NativeTimeline_DT_VISTORIA2" caption="DT VISTORIA" level="2" selectionLevel="2" scrollPosition="2020-05-19T00:00:00" style="TimeSlicerStyleLight6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"/>
  <sheetViews>
    <sheetView showGridLines="0" showRowColHeaders="0" topLeftCell="A4" workbookViewId="0">
      <selection activeCell="U3" sqref="U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T10"/>
  <sheetViews>
    <sheetView workbookViewId="0">
      <selection activeCell="A11" sqref="A11:R14"/>
    </sheetView>
  </sheetViews>
  <sheetFormatPr defaultRowHeight="15" x14ac:dyDescent="0.25"/>
  <cols>
    <col min="1" max="4" width="16.42578125" customWidth="1"/>
    <col min="5" max="5" width="19.140625" style="17" customWidth="1"/>
    <col min="6" max="6" width="16.5703125" style="17" customWidth="1"/>
    <col min="7" max="9" width="16.42578125" style="17" customWidth="1"/>
    <col min="10" max="10" width="19.7109375" style="17" customWidth="1"/>
    <col min="11" max="11" width="20.28515625" style="17" customWidth="1"/>
    <col min="12" max="13" width="16.42578125" style="17" customWidth="1"/>
    <col min="14" max="17" width="20" customWidth="1"/>
    <col min="18" max="18" width="16.42578125" customWidth="1"/>
  </cols>
  <sheetData>
    <row r="1" spans="1:20" x14ac:dyDescent="0.25">
      <c r="A1" s="18" t="s">
        <v>197</v>
      </c>
      <c r="B1" s="18" t="s">
        <v>64</v>
      </c>
      <c r="C1" s="18" t="s">
        <v>200</v>
      </c>
      <c r="D1" s="18" t="s">
        <v>160</v>
      </c>
      <c r="E1" s="16" t="s">
        <v>229</v>
      </c>
      <c r="F1" s="16" t="s">
        <v>75</v>
      </c>
      <c r="G1" s="16" t="s">
        <v>78</v>
      </c>
      <c r="H1" s="16" t="s">
        <v>79</v>
      </c>
      <c r="I1" s="16" t="s">
        <v>230</v>
      </c>
      <c r="J1" s="16" t="s">
        <v>177</v>
      </c>
      <c r="K1" s="16" t="s">
        <v>228</v>
      </c>
      <c r="L1" s="16" t="s">
        <v>80</v>
      </c>
      <c r="M1" s="16" t="s">
        <v>81</v>
      </c>
      <c r="N1" s="39" t="s">
        <v>198</v>
      </c>
      <c r="O1" s="39" t="s">
        <v>199</v>
      </c>
      <c r="P1" s="39" t="s">
        <v>178</v>
      </c>
      <c r="Q1" s="39" t="s">
        <v>222</v>
      </c>
      <c r="R1" s="39" t="s">
        <v>158</v>
      </c>
    </row>
    <row r="2" spans="1:20" x14ac:dyDescent="0.25">
      <c r="A2" t="s">
        <v>116</v>
      </c>
      <c r="B2">
        <v>1</v>
      </c>
      <c r="C2">
        <v>3</v>
      </c>
      <c r="D2" s="1">
        <v>43863</v>
      </c>
      <c r="E2" s="17">
        <v>100</v>
      </c>
      <c r="F2" s="17">
        <v>100</v>
      </c>
      <c r="G2" s="17">
        <v>4</v>
      </c>
      <c r="H2" s="17">
        <v>5</v>
      </c>
      <c r="I2" s="17">
        <v>2</v>
      </c>
      <c r="J2" s="17">
        <v>8</v>
      </c>
      <c r="K2" s="17">
        <v>9</v>
      </c>
      <c r="L2" s="17">
        <v>6</v>
      </c>
      <c r="M2" s="17">
        <v>135</v>
      </c>
      <c r="N2" s="1">
        <v>44234</v>
      </c>
      <c r="O2" t="s">
        <v>202</v>
      </c>
      <c r="P2" t="s">
        <v>180</v>
      </c>
      <c r="Q2" s="1">
        <v>44246</v>
      </c>
      <c r="R2" s="41" t="s">
        <v>112</v>
      </c>
      <c r="S2" s="41"/>
      <c r="T2" s="41"/>
    </row>
    <row r="3" spans="1:20" x14ac:dyDescent="0.25">
      <c r="A3" t="s">
        <v>99</v>
      </c>
      <c r="B3">
        <v>45</v>
      </c>
      <c r="D3" s="1">
        <v>43831</v>
      </c>
      <c r="E3" s="17">
        <v>600</v>
      </c>
      <c r="F3" s="17">
        <v>252</v>
      </c>
      <c r="G3" s="17">
        <v>11</v>
      </c>
      <c r="H3" s="17">
        <v>223</v>
      </c>
      <c r="I3" s="17">
        <v>223</v>
      </c>
      <c r="J3" s="17">
        <v>11</v>
      </c>
      <c r="K3" s="17">
        <v>602.1</v>
      </c>
      <c r="L3" s="17">
        <v>11</v>
      </c>
      <c r="M3" s="17">
        <v>1710.1</v>
      </c>
      <c r="N3" s="1">
        <v>44234</v>
      </c>
      <c r="O3" t="s">
        <v>202</v>
      </c>
      <c r="P3" t="s">
        <v>180</v>
      </c>
      <c r="Q3" s="1">
        <v>44246</v>
      </c>
      <c r="R3" s="1" t="s">
        <v>112</v>
      </c>
    </row>
    <row r="4" spans="1:20" x14ac:dyDescent="0.25">
      <c r="A4" t="s">
        <v>116</v>
      </c>
      <c r="B4">
        <v>45</v>
      </c>
      <c r="D4" s="1">
        <v>43831</v>
      </c>
      <c r="E4" s="17">
        <v>120</v>
      </c>
      <c r="F4" s="17">
        <v>11</v>
      </c>
      <c r="G4" s="17">
        <v>11</v>
      </c>
      <c r="H4" s="17">
        <v>602.1</v>
      </c>
      <c r="I4" s="17">
        <v>223</v>
      </c>
      <c r="J4" s="17">
        <v>11</v>
      </c>
      <c r="K4" s="17">
        <v>1710.1</v>
      </c>
      <c r="L4" s="17">
        <v>11</v>
      </c>
      <c r="M4" s="17">
        <v>223</v>
      </c>
      <c r="N4" s="1">
        <v>44234</v>
      </c>
      <c r="O4" t="s">
        <v>231</v>
      </c>
      <c r="P4" t="s">
        <v>180</v>
      </c>
      <c r="Q4" s="1">
        <v>44246</v>
      </c>
      <c r="R4" s="41" t="s">
        <v>112</v>
      </c>
    </row>
    <row r="5" spans="1:20" x14ac:dyDescent="0.25">
      <c r="A5" t="s">
        <v>116</v>
      </c>
      <c r="B5">
        <v>45</v>
      </c>
      <c r="D5" s="1">
        <v>43831</v>
      </c>
      <c r="E5" s="17">
        <v>223</v>
      </c>
      <c r="F5" s="17">
        <v>11</v>
      </c>
      <c r="G5" s="17">
        <v>11</v>
      </c>
      <c r="H5" s="17">
        <v>1710.1</v>
      </c>
      <c r="I5" s="17">
        <v>602.1</v>
      </c>
      <c r="J5" s="17">
        <v>11</v>
      </c>
      <c r="K5" s="17">
        <v>223</v>
      </c>
      <c r="L5" s="17">
        <v>11</v>
      </c>
      <c r="M5" s="17">
        <v>223</v>
      </c>
      <c r="N5" s="1">
        <v>44234</v>
      </c>
      <c r="O5" t="s">
        <v>202</v>
      </c>
      <c r="P5" t="s">
        <v>180</v>
      </c>
      <c r="Q5" s="1">
        <v>44246</v>
      </c>
      <c r="R5" s="1" t="s">
        <v>112</v>
      </c>
    </row>
    <row r="6" spans="1:20" x14ac:dyDescent="0.25">
      <c r="A6" t="s">
        <v>91</v>
      </c>
      <c r="B6">
        <v>45</v>
      </c>
      <c r="D6" s="1">
        <v>43831</v>
      </c>
      <c r="E6" s="17">
        <v>223</v>
      </c>
      <c r="F6" s="17">
        <v>11</v>
      </c>
      <c r="G6" s="17">
        <v>11</v>
      </c>
      <c r="H6" s="17">
        <v>223</v>
      </c>
      <c r="I6" s="17">
        <v>1710.1</v>
      </c>
      <c r="J6" s="17">
        <v>11</v>
      </c>
      <c r="K6" s="17">
        <v>223</v>
      </c>
      <c r="L6" s="17">
        <v>11</v>
      </c>
      <c r="M6" s="17">
        <v>223</v>
      </c>
      <c r="N6" s="1">
        <v>44234</v>
      </c>
      <c r="O6" t="s">
        <v>202</v>
      </c>
      <c r="P6" t="s">
        <v>179</v>
      </c>
      <c r="Q6" s="1">
        <v>44246</v>
      </c>
      <c r="R6" s="41" t="s">
        <v>112</v>
      </c>
    </row>
    <row r="7" spans="1:20" x14ac:dyDescent="0.25">
      <c r="A7" t="s">
        <v>116</v>
      </c>
      <c r="B7">
        <v>45</v>
      </c>
      <c r="D7" s="1">
        <v>43831</v>
      </c>
      <c r="E7" s="17">
        <v>223</v>
      </c>
      <c r="F7" s="17">
        <v>11</v>
      </c>
      <c r="G7" s="17">
        <v>11</v>
      </c>
      <c r="H7" s="17">
        <v>223</v>
      </c>
      <c r="I7" s="17">
        <v>1710.1</v>
      </c>
      <c r="J7" s="17">
        <v>11</v>
      </c>
      <c r="K7" s="17">
        <v>223</v>
      </c>
      <c r="L7" s="17">
        <v>11</v>
      </c>
      <c r="M7" s="17">
        <v>223</v>
      </c>
      <c r="N7" s="1">
        <v>44234</v>
      </c>
      <c r="O7" t="s">
        <v>202</v>
      </c>
      <c r="P7" t="s">
        <v>180</v>
      </c>
      <c r="Q7" s="1">
        <v>44246</v>
      </c>
      <c r="R7" s="1" t="s">
        <v>112</v>
      </c>
    </row>
    <row r="8" spans="1:20" x14ac:dyDescent="0.25">
      <c r="A8" t="s">
        <v>117</v>
      </c>
      <c r="B8">
        <v>45</v>
      </c>
      <c r="D8" s="1">
        <v>43831</v>
      </c>
      <c r="E8" s="17">
        <v>602.1</v>
      </c>
      <c r="F8" s="17">
        <v>11</v>
      </c>
      <c r="G8" s="17">
        <v>11</v>
      </c>
      <c r="H8" s="17">
        <v>223</v>
      </c>
      <c r="I8" s="17">
        <v>223</v>
      </c>
      <c r="J8" s="17">
        <v>11</v>
      </c>
      <c r="K8" s="17">
        <v>223</v>
      </c>
      <c r="L8" s="17">
        <v>11</v>
      </c>
      <c r="M8" s="17">
        <v>223</v>
      </c>
      <c r="N8" s="1">
        <v>44234</v>
      </c>
      <c r="O8" t="s">
        <v>202</v>
      </c>
      <c r="P8" t="s">
        <v>179</v>
      </c>
      <c r="Q8" s="1">
        <v>44246</v>
      </c>
      <c r="R8" s="41" t="s">
        <v>112</v>
      </c>
    </row>
    <row r="9" spans="1:20" x14ac:dyDescent="0.25">
      <c r="A9" t="s">
        <v>116</v>
      </c>
      <c r="B9">
        <v>45</v>
      </c>
      <c r="D9" s="1">
        <v>43831</v>
      </c>
      <c r="E9" s="17">
        <v>1710.1</v>
      </c>
      <c r="F9" s="17">
        <v>11</v>
      </c>
      <c r="G9" s="17">
        <v>11</v>
      </c>
      <c r="H9" s="17">
        <v>223</v>
      </c>
      <c r="I9" s="17">
        <v>223</v>
      </c>
      <c r="J9" s="17">
        <v>11</v>
      </c>
      <c r="K9" s="17">
        <v>223</v>
      </c>
      <c r="L9" s="17">
        <v>11</v>
      </c>
      <c r="M9" s="17">
        <v>223</v>
      </c>
      <c r="N9" s="1">
        <v>44234</v>
      </c>
      <c r="O9" t="s">
        <v>202</v>
      </c>
      <c r="P9" t="s">
        <v>179</v>
      </c>
      <c r="Q9" s="1">
        <v>44246</v>
      </c>
      <c r="R9" s="1" t="s">
        <v>112</v>
      </c>
    </row>
    <row r="10" spans="1:20" x14ac:dyDescent="0.25">
      <c r="A10" t="s">
        <v>117</v>
      </c>
      <c r="B10">
        <v>45</v>
      </c>
      <c r="D10" s="1">
        <v>43831</v>
      </c>
      <c r="E10" s="17">
        <v>1710.1</v>
      </c>
      <c r="F10" s="17">
        <v>11</v>
      </c>
      <c r="G10" s="17">
        <v>11</v>
      </c>
      <c r="H10" s="17">
        <v>223</v>
      </c>
      <c r="I10" s="17">
        <v>223</v>
      </c>
      <c r="J10" s="17">
        <v>11</v>
      </c>
      <c r="K10" s="17">
        <v>223</v>
      </c>
      <c r="L10" s="17">
        <v>11</v>
      </c>
      <c r="M10" s="17">
        <v>223</v>
      </c>
      <c r="N10" s="1">
        <v>44234</v>
      </c>
      <c r="O10" t="s">
        <v>202</v>
      </c>
      <c r="P10" t="s">
        <v>179</v>
      </c>
      <c r="Q10" s="1">
        <v>44246</v>
      </c>
      <c r="R10" t="s">
        <v>113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V11"/>
  <sheetViews>
    <sheetView topLeftCell="F1" workbookViewId="0">
      <selection activeCell="R14" sqref="R14"/>
    </sheetView>
  </sheetViews>
  <sheetFormatPr defaultRowHeight="15" x14ac:dyDescent="0.25"/>
  <cols>
    <col min="1" max="1" width="44.85546875" bestFit="1" customWidth="1"/>
    <col min="2" max="5" width="15.5703125" bestFit="1" customWidth="1"/>
    <col min="6" max="6" width="17.85546875" bestFit="1" customWidth="1"/>
    <col min="16" max="16" width="15.85546875" bestFit="1" customWidth="1"/>
    <col min="18" max="18" width="17.5703125" bestFit="1" customWidth="1"/>
    <col min="19" max="19" width="11.7109375" bestFit="1" customWidth="1"/>
    <col min="21" max="21" width="12.5703125" customWidth="1"/>
    <col min="22" max="22" width="11.7109375" customWidth="1"/>
  </cols>
  <sheetData>
    <row r="1" spans="1:22" ht="38.25" customHeight="1" x14ac:dyDescent="0.25"/>
    <row r="2" spans="1:22" x14ac:dyDescent="0.25">
      <c r="A2" s="53" t="s">
        <v>197</v>
      </c>
      <c r="B2" s="53" t="s">
        <v>80</v>
      </c>
      <c r="C2" s="53" t="s">
        <v>228</v>
      </c>
      <c r="D2" s="53" t="s">
        <v>64</v>
      </c>
      <c r="E2" s="53" t="s">
        <v>200</v>
      </c>
      <c r="F2" s="53" t="s">
        <v>160</v>
      </c>
      <c r="G2" s="53" t="s">
        <v>229</v>
      </c>
      <c r="H2" s="53" t="s">
        <v>75</v>
      </c>
      <c r="I2" s="53" t="s">
        <v>78</v>
      </c>
      <c r="J2" s="53" t="s">
        <v>79</v>
      </c>
      <c r="K2" s="53" t="s">
        <v>230</v>
      </c>
      <c r="L2" s="53" t="s">
        <v>177</v>
      </c>
      <c r="M2" s="53" t="s">
        <v>81</v>
      </c>
      <c r="N2" s="53" t="s">
        <v>199</v>
      </c>
      <c r="O2" s="53" t="s">
        <v>178</v>
      </c>
      <c r="P2" s="53" t="s">
        <v>158</v>
      </c>
      <c r="R2" s="60" t="s">
        <v>235</v>
      </c>
      <c r="S2" s="60"/>
      <c r="U2" s="60" t="s">
        <v>240</v>
      </c>
      <c r="V2" s="60"/>
    </row>
    <row r="3" spans="1:22" x14ac:dyDescent="0.25">
      <c r="A3" t="s">
        <v>116</v>
      </c>
      <c r="B3">
        <v>6</v>
      </c>
      <c r="C3">
        <v>9</v>
      </c>
      <c r="D3">
        <v>1</v>
      </c>
      <c r="E3">
        <v>3</v>
      </c>
      <c r="F3" s="1">
        <v>43863</v>
      </c>
      <c r="G3">
        <v>100</v>
      </c>
      <c r="H3">
        <v>100</v>
      </c>
      <c r="I3">
        <v>4</v>
      </c>
      <c r="J3">
        <v>5</v>
      </c>
      <c r="K3">
        <v>2</v>
      </c>
      <c r="L3">
        <v>8</v>
      </c>
      <c r="M3">
        <v>135</v>
      </c>
      <c r="N3" t="s">
        <v>202</v>
      </c>
      <c r="O3" t="s">
        <v>180</v>
      </c>
      <c r="P3" t="s">
        <v>112</v>
      </c>
      <c r="R3" s="42" t="s">
        <v>113</v>
      </c>
      <c r="S3" s="17">
        <f>SUMIF(P:P,$R3,M:M)</f>
        <v>223</v>
      </c>
      <c r="U3" t="s">
        <v>202</v>
      </c>
      <c r="V3" s="17">
        <f>SUMIF(N:N,U3,M:M)</f>
        <v>3183.1</v>
      </c>
    </row>
    <row r="4" spans="1:22" x14ac:dyDescent="0.25">
      <c r="A4" t="s">
        <v>116</v>
      </c>
      <c r="B4">
        <v>11</v>
      </c>
      <c r="C4">
        <v>223</v>
      </c>
      <c r="D4">
        <v>45</v>
      </c>
      <c r="E4" t="s">
        <v>227</v>
      </c>
      <c r="F4" s="1">
        <v>43831</v>
      </c>
      <c r="G4">
        <v>223</v>
      </c>
      <c r="H4">
        <v>11</v>
      </c>
      <c r="I4">
        <v>11</v>
      </c>
      <c r="J4">
        <v>223</v>
      </c>
      <c r="K4">
        <v>1710.1</v>
      </c>
      <c r="L4">
        <v>11</v>
      </c>
      <c r="M4">
        <v>223</v>
      </c>
      <c r="N4" t="s">
        <v>202</v>
      </c>
      <c r="O4" t="s">
        <v>180</v>
      </c>
      <c r="P4" t="s">
        <v>112</v>
      </c>
      <c r="R4" s="43" t="s">
        <v>112</v>
      </c>
      <c r="S4" s="17">
        <f t="shared" ref="S4:S9" si="0">SUMIF(P:P,$R4,M:M)</f>
        <v>3183.1</v>
      </c>
      <c r="U4" t="s">
        <v>231</v>
      </c>
      <c r="V4" s="17">
        <f>SUMIF(M:M,U4,L:L)</f>
        <v>0</v>
      </c>
    </row>
    <row r="5" spans="1:22" x14ac:dyDescent="0.25">
      <c r="A5" t="s">
        <v>116</v>
      </c>
      <c r="B5">
        <v>11</v>
      </c>
      <c r="C5">
        <v>223</v>
      </c>
      <c r="D5">
        <v>45</v>
      </c>
      <c r="E5" t="s">
        <v>227</v>
      </c>
      <c r="F5" s="1">
        <v>43831</v>
      </c>
      <c r="G5">
        <v>223</v>
      </c>
      <c r="H5">
        <v>11</v>
      </c>
      <c r="I5">
        <v>11</v>
      </c>
      <c r="J5">
        <v>1710.1</v>
      </c>
      <c r="K5">
        <v>602.1</v>
      </c>
      <c r="L5">
        <v>11</v>
      </c>
      <c r="M5">
        <v>223</v>
      </c>
      <c r="N5" t="s">
        <v>202</v>
      </c>
      <c r="O5" t="s">
        <v>180</v>
      </c>
      <c r="P5" t="s">
        <v>112</v>
      </c>
      <c r="R5" s="42" t="s">
        <v>110</v>
      </c>
      <c r="S5" s="17">
        <f t="shared" si="0"/>
        <v>0</v>
      </c>
    </row>
    <row r="6" spans="1:22" x14ac:dyDescent="0.25">
      <c r="A6" t="s">
        <v>116</v>
      </c>
      <c r="B6">
        <v>11</v>
      </c>
      <c r="C6">
        <v>223</v>
      </c>
      <c r="D6">
        <v>45</v>
      </c>
      <c r="E6" t="s">
        <v>227</v>
      </c>
      <c r="F6" s="1">
        <v>43831</v>
      </c>
      <c r="G6">
        <v>1710.1</v>
      </c>
      <c r="H6">
        <v>11</v>
      </c>
      <c r="I6">
        <v>11</v>
      </c>
      <c r="J6">
        <v>223</v>
      </c>
      <c r="K6">
        <v>223</v>
      </c>
      <c r="L6">
        <v>11</v>
      </c>
      <c r="M6">
        <v>223</v>
      </c>
      <c r="N6" t="s">
        <v>202</v>
      </c>
      <c r="O6" t="s">
        <v>179</v>
      </c>
      <c r="P6" t="s">
        <v>112</v>
      </c>
      <c r="R6" s="43" t="s">
        <v>115</v>
      </c>
      <c r="S6" s="17">
        <f t="shared" si="0"/>
        <v>0</v>
      </c>
    </row>
    <row r="7" spans="1:22" x14ac:dyDescent="0.25">
      <c r="A7" t="s">
        <v>116</v>
      </c>
      <c r="B7">
        <v>11</v>
      </c>
      <c r="C7">
        <v>1710.1</v>
      </c>
      <c r="D7">
        <v>45</v>
      </c>
      <c r="E7" t="s">
        <v>227</v>
      </c>
      <c r="F7" s="1">
        <v>43831</v>
      </c>
      <c r="G7">
        <v>120</v>
      </c>
      <c r="H7">
        <v>11</v>
      </c>
      <c r="I7">
        <v>11</v>
      </c>
      <c r="J7">
        <v>602.1</v>
      </c>
      <c r="K7">
        <v>223</v>
      </c>
      <c r="L7">
        <v>11</v>
      </c>
      <c r="M7">
        <v>223</v>
      </c>
      <c r="N7" t="s">
        <v>231</v>
      </c>
      <c r="O7" t="s">
        <v>180</v>
      </c>
      <c r="P7" t="s">
        <v>112</v>
      </c>
      <c r="R7" s="42" t="s">
        <v>111</v>
      </c>
      <c r="S7" s="17">
        <f t="shared" si="0"/>
        <v>0</v>
      </c>
    </row>
    <row r="8" spans="1:22" x14ac:dyDescent="0.25">
      <c r="A8" t="s">
        <v>91</v>
      </c>
      <c r="B8">
        <v>11</v>
      </c>
      <c r="C8">
        <v>223</v>
      </c>
      <c r="D8">
        <v>45</v>
      </c>
      <c r="E8" t="s">
        <v>227</v>
      </c>
      <c r="F8" s="1">
        <v>43831</v>
      </c>
      <c r="G8">
        <v>223</v>
      </c>
      <c r="H8">
        <v>11</v>
      </c>
      <c r="I8">
        <v>11</v>
      </c>
      <c r="J8">
        <v>223</v>
      </c>
      <c r="K8">
        <v>1710.1</v>
      </c>
      <c r="L8">
        <v>11</v>
      </c>
      <c r="M8">
        <v>223</v>
      </c>
      <c r="N8" t="s">
        <v>202</v>
      </c>
      <c r="O8" t="s">
        <v>179</v>
      </c>
      <c r="P8" t="s">
        <v>112</v>
      </c>
      <c r="R8" s="43" t="s">
        <v>236</v>
      </c>
      <c r="S8" s="17">
        <f t="shared" si="0"/>
        <v>0</v>
      </c>
    </row>
    <row r="9" spans="1:22" x14ac:dyDescent="0.25">
      <c r="A9" t="s">
        <v>117</v>
      </c>
      <c r="B9">
        <v>11</v>
      </c>
      <c r="C9">
        <v>223</v>
      </c>
      <c r="D9">
        <v>45</v>
      </c>
      <c r="E9" t="s">
        <v>227</v>
      </c>
      <c r="F9" s="1">
        <v>43831</v>
      </c>
      <c r="G9">
        <v>602.1</v>
      </c>
      <c r="H9">
        <v>11</v>
      </c>
      <c r="I9">
        <v>11</v>
      </c>
      <c r="J9">
        <v>223</v>
      </c>
      <c r="K9">
        <v>223</v>
      </c>
      <c r="L9">
        <v>11</v>
      </c>
      <c r="M9">
        <v>223</v>
      </c>
      <c r="N9" t="s">
        <v>202</v>
      </c>
      <c r="O9" t="s">
        <v>179</v>
      </c>
      <c r="P9" t="s">
        <v>112</v>
      </c>
      <c r="R9" s="42" t="s">
        <v>238</v>
      </c>
      <c r="S9" s="17">
        <f t="shared" si="0"/>
        <v>0</v>
      </c>
    </row>
    <row r="10" spans="1:22" x14ac:dyDescent="0.25">
      <c r="A10" t="s">
        <v>117</v>
      </c>
      <c r="B10">
        <v>11</v>
      </c>
      <c r="C10">
        <v>223</v>
      </c>
      <c r="D10">
        <v>45</v>
      </c>
      <c r="E10" t="s">
        <v>227</v>
      </c>
      <c r="F10" s="1">
        <v>43831</v>
      </c>
      <c r="G10">
        <v>1710.1</v>
      </c>
      <c r="H10">
        <v>11</v>
      </c>
      <c r="I10">
        <v>11</v>
      </c>
      <c r="J10">
        <v>223</v>
      </c>
      <c r="K10">
        <v>223</v>
      </c>
      <c r="L10">
        <v>11</v>
      </c>
      <c r="M10">
        <v>223</v>
      </c>
      <c r="N10" t="s">
        <v>202</v>
      </c>
      <c r="O10" t="s">
        <v>179</v>
      </c>
      <c r="P10" t="s">
        <v>113</v>
      </c>
    </row>
    <row r="11" spans="1:22" x14ac:dyDescent="0.25">
      <c r="A11" t="s">
        <v>99</v>
      </c>
      <c r="B11">
        <v>11</v>
      </c>
      <c r="C11">
        <v>602.1</v>
      </c>
      <c r="D11">
        <v>45</v>
      </c>
      <c r="E11" t="s">
        <v>227</v>
      </c>
      <c r="F11" s="1">
        <v>43831</v>
      </c>
      <c r="G11">
        <v>600</v>
      </c>
      <c r="H11">
        <v>252</v>
      </c>
      <c r="I11">
        <v>11</v>
      </c>
      <c r="J11">
        <v>223</v>
      </c>
      <c r="K11">
        <v>223</v>
      </c>
      <c r="L11">
        <v>11</v>
      </c>
      <c r="M11">
        <v>1710.1</v>
      </c>
      <c r="N11" t="s">
        <v>202</v>
      </c>
      <c r="O11" t="s">
        <v>180</v>
      </c>
      <c r="P11" t="s">
        <v>112</v>
      </c>
    </row>
  </sheetData>
  <mergeCells count="2">
    <mergeCell ref="R2:S2"/>
    <mergeCell ref="U2:V2"/>
  </mergeCell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27"/>
  <sheetViews>
    <sheetView showGridLines="0" tabSelected="1" workbookViewId="0">
      <selection activeCell="M19" sqref="M19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R10"/>
  <sheetViews>
    <sheetView topLeftCell="N1" workbookViewId="0">
      <selection activeCell="N14" sqref="N14"/>
    </sheetView>
  </sheetViews>
  <sheetFormatPr defaultRowHeight="15" x14ac:dyDescent="0.25"/>
  <cols>
    <col min="1" max="4" width="22.7109375" customWidth="1"/>
    <col min="5" max="13" width="22.7109375" style="17" customWidth="1"/>
    <col min="14" max="18" width="22.7109375" customWidth="1"/>
  </cols>
  <sheetData>
    <row r="1" spans="1:18" x14ac:dyDescent="0.25">
      <c r="A1" s="18" t="s">
        <v>197</v>
      </c>
      <c r="B1" s="18" t="s">
        <v>64</v>
      </c>
      <c r="C1" s="18" t="s">
        <v>200</v>
      </c>
      <c r="D1" s="18" t="s">
        <v>160</v>
      </c>
      <c r="E1" s="16" t="s">
        <v>73</v>
      </c>
      <c r="F1" s="16" t="s">
        <v>75</v>
      </c>
      <c r="G1" s="16" t="s">
        <v>78</v>
      </c>
      <c r="H1" s="16" t="s">
        <v>79</v>
      </c>
      <c r="I1" s="16" t="s">
        <v>56</v>
      </c>
      <c r="J1" s="16" t="s">
        <v>177</v>
      </c>
      <c r="K1" s="16" t="s">
        <v>233</v>
      </c>
      <c r="L1" s="16" t="s">
        <v>80</v>
      </c>
      <c r="M1" s="16" t="s">
        <v>81</v>
      </c>
      <c r="N1" s="39" t="s">
        <v>198</v>
      </c>
      <c r="O1" s="39" t="s">
        <v>199</v>
      </c>
      <c r="P1" s="39" t="s">
        <v>178</v>
      </c>
      <c r="Q1" s="39" t="s">
        <v>157</v>
      </c>
      <c r="R1" s="39" t="s">
        <v>158</v>
      </c>
    </row>
    <row r="2" spans="1:18" x14ac:dyDescent="0.25">
      <c r="A2" t="s">
        <v>99</v>
      </c>
      <c r="B2">
        <v>45</v>
      </c>
      <c r="D2" s="1">
        <v>43831</v>
      </c>
      <c r="E2" s="17" t="s">
        <v>201</v>
      </c>
      <c r="F2" s="17">
        <v>11</v>
      </c>
      <c r="G2" s="17">
        <v>11</v>
      </c>
      <c r="H2" s="17">
        <v>223</v>
      </c>
      <c r="I2" s="17">
        <v>223</v>
      </c>
      <c r="J2" s="17">
        <v>11</v>
      </c>
      <c r="K2" s="17">
        <v>223</v>
      </c>
      <c r="L2" s="17">
        <v>11</v>
      </c>
      <c r="M2" s="17">
        <v>223</v>
      </c>
      <c r="N2" s="1">
        <v>44234</v>
      </c>
      <c r="O2" t="s">
        <v>202</v>
      </c>
      <c r="P2" t="s">
        <v>180</v>
      </c>
      <c r="Q2" s="1">
        <v>44234</v>
      </c>
      <c r="R2" t="s">
        <v>112</v>
      </c>
    </row>
    <row r="3" spans="1:18" x14ac:dyDescent="0.25">
      <c r="A3" t="s">
        <v>99</v>
      </c>
      <c r="B3">
        <v>45</v>
      </c>
      <c r="D3" s="1">
        <v>43831</v>
      </c>
      <c r="E3" s="17" t="s">
        <v>204</v>
      </c>
      <c r="F3" s="17">
        <v>11</v>
      </c>
      <c r="G3" s="17">
        <v>11</v>
      </c>
      <c r="H3" s="17">
        <v>223</v>
      </c>
      <c r="I3" s="17">
        <v>223</v>
      </c>
      <c r="J3" s="17">
        <v>11</v>
      </c>
      <c r="K3" s="17">
        <v>223</v>
      </c>
      <c r="L3" s="17">
        <v>11</v>
      </c>
      <c r="M3" s="17">
        <v>223</v>
      </c>
      <c r="N3" s="1">
        <v>44234</v>
      </c>
      <c r="O3" t="s">
        <v>231</v>
      </c>
      <c r="P3" t="s">
        <v>180</v>
      </c>
      <c r="Q3" s="1">
        <v>44234</v>
      </c>
      <c r="R3" t="s">
        <v>113</v>
      </c>
    </row>
    <row r="4" spans="1:18" x14ac:dyDescent="0.25">
      <c r="A4" t="s">
        <v>116</v>
      </c>
      <c r="B4">
        <v>45</v>
      </c>
      <c r="D4" s="1">
        <v>43831</v>
      </c>
      <c r="E4" s="17" t="s">
        <v>204</v>
      </c>
      <c r="F4" s="17">
        <v>11</v>
      </c>
      <c r="G4" s="17">
        <v>11</v>
      </c>
      <c r="H4" s="17">
        <v>223</v>
      </c>
      <c r="I4" s="17">
        <v>223</v>
      </c>
      <c r="J4" s="17">
        <v>11</v>
      </c>
      <c r="K4" s="17">
        <v>223</v>
      </c>
      <c r="L4" s="17">
        <v>11</v>
      </c>
      <c r="M4" s="17">
        <v>223</v>
      </c>
      <c r="N4" s="1">
        <v>44234</v>
      </c>
      <c r="O4" t="s">
        <v>231</v>
      </c>
      <c r="P4" t="s">
        <v>180</v>
      </c>
      <c r="Q4" s="1">
        <v>44247</v>
      </c>
      <c r="R4" t="s">
        <v>112</v>
      </c>
    </row>
    <row r="5" spans="1:18" x14ac:dyDescent="0.25">
      <c r="A5" t="s">
        <v>99</v>
      </c>
      <c r="B5">
        <v>45</v>
      </c>
      <c r="D5" s="1">
        <v>43831</v>
      </c>
      <c r="E5" s="17" t="s">
        <v>213</v>
      </c>
      <c r="F5" s="17" t="s">
        <v>205</v>
      </c>
      <c r="G5" s="17" t="s">
        <v>206</v>
      </c>
      <c r="H5" s="17" t="s">
        <v>207</v>
      </c>
      <c r="I5" s="17" t="s">
        <v>210</v>
      </c>
      <c r="J5" s="17" t="s">
        <v>211</v>
      </c>
      <c r="K5" s="17" t="s">
        <v>212</v>
      </c>
      <c r="L5" s="17" t="s">
        <v>208</v>
      </c>
      <c r="M5" s="17" t="s">
        <v>209</v>
      </c>
      <c r="N5" s="1">
        <v>44234</v>
      </c>
      <c r="O5" t="s">
        <v>231</v>
      </c>
      <c r="P5" t="s">
        <v>179</v>
      </c>
      <c r="Q5" s="1">
        <v>44234</v>
      </c>
      <c r="R5" t="s">
        <v>113</v>
      </c>
    </row>
    <row r="6" spans="1:18" x14ac:dyDescent="0.25">
      <c r="A6" t="s">
        <v>116</v>
      </c>
      <c r="B6">
        <v>987</v>
      </c>
      <c r="D6" s="1">
        <v>44379</v>
      </c>
      <c r="E6" s="17" t="s">
        <v>219</v>
      </c>
      <c r="F6" s="17" t="s">
        <v>214</v>
      </c>
      <c r="I6" s="17" t="s">
        <v>210</v>
      </c>
      <c r="J6" s="17" t="s">
        <v>215</v>
      </c>
      <c r="K6" s="17" t="s">
        <v>216</v>
      </c>
      <c r="L6" s="17" t="s">
        <v>217</v>
      </c>
      <c r="M6" s="17" t="s">
        <v>218</v>
      </c>
      <c r="N6" s="1">
        <v>44234</v>
      </c>
      <c r="O6" t="s">
        <v>202</v>
      </c>
      <c r="P6" t="s">
        <v>179</v>
      </c>
      <c r="Q6" s="1">
        <v>44234</v>
      </c>
      <c r="R6" t="s">
        <v>111</v>
      </c>
    </row>
    <row r="7" spans="1:18" x14ac:dyDescent="0.25">
      <c r="A7" t="s">
        <v>91</v>
      </c>
      <c r="B7">
        <v>45</v>
      </c>
      <c r="D7" s="1">
        <v>43831</v>
      </c>
      <c r="E7" s="17" t="s">
        <v>221</v>
      </c>
      <c r="F7" s="17" t="s">
        <v>206</v>
      </c>
      <c r="G7" s="17" t="s">
        <v>211</v>
      </c>
      <c r="H7" s="17" t="s">
        <v>212</v>
      </c>
      <c r="I7" s="17" t="s">
        <v>207</v>
      </c>
      <c r="J7" s="17" t="s">
        <v>208</v>
      </c>
      <c r="K7" s="17" t="s">
        <v>209</v>
      </c>
      <c r="L7" s="17">
        <v>11</v>
      </c>
      <c r="M7" s="17" t="s">
        <v>220</v>
      </c>
      <c r="N7" s="1">
        <v>44234</v>
      </c>
      <c r="O7" t="s">
        <v>202</v>
      </c>
      <c r="P7" t="s">
        <v>180</v>
      </c>
      <c r="Q7" s="1">
        <v>44234</v>
      </c>
      <c r="R7" t="s">
        <v>234</v>
      </c>
    </row>
    <row r="8" spans="1:18" x14ac:dyDescent="0.25">
      <c r="A8" t="s">
        <v>116</v>
      </c>
      <c r="B8">
        <v>45</v>
      </c>
      <c r="D8" s="1">
        <v>43831</v>
      </c>
      <c r="E8" s="40">
        <v>2</v>
      </c>
      <c r="F8" s="40">
        <v>50</v>
      </c>
      <c r="G8" s="40">
        <v>32</v>
      </c>
      <c r="H8" s="40">
        <v>14</v>
      </c>
      <c r="I8" s="40">
        <v>30</v>
      </c>
      <c r="J8" s="40">
        <v>1</v>
      </c>
      <c r="K8" s="40">
        <v>352.1</v>
      </c>
      <c r="L8" s="40">
        <v>11</v>
      </c>
      <c r="M8" s="40">
        <v>462.1</v>
      </c>
      <c r="N8" s="1">
        <v>44234</v>
      </c>
      <c r="O8" t="s">
        <v>202</v>
      </c>
      <c r="P8" t="s">
        <v>179</v>
      </c>
      <c r="Q8" s="1">
        <v>44234</v>
      </c>
      <c r="R8" t="s">
        <v>115</v>
      </c>
    </row>
    <row r="9" spans="1:18" x14ac:dyDescent="0.25">
      <c r="A9" t="s">
        <v>116</v>
      </c>
      <c r="B9">
        <v>785</v>
      </c>
      <c r="D9" s="1">
        <v>44234</v>
      </c>
      <c r="E9" s="40">
        <v>10</v>
      </c>
      <c r="F9" s="40">
        <v>1</v>
      </c>
      <c r="G9" s="40">
        <v>1</v>
      </c>
      <c r="H9" s="40">
        <v>1</v>
      </c>
      <c r="I9" s="40">
        <v>1</v>
      </c>
      <c r="J9" s="40">
        <v>1</v>
      </c>
      <c r="K9" s="40">
        <v>1</v>
      </c>
      <c r="L9" s="40">
        <v>1</v>
      </c>
      <c r="M9" s="40">
        <v>16</v>
      </c>
      <c r="N9" s="1">
        <v>44234</v>
      </c>
      <c r="O9" t="s">
        <v>202</v>
      </c>
      <c r="P9" t="s">
        <v>179</v>
      </c>
      <c r="Q9" s="1">
        <v>44234</v>
      </c>
      <c r="R9" t="s">
        <v>115</v>
      </c>
    </row>
    <row r="10" spans="1:18" x14ac:dyDescent="0.25">
      <c r="A10" t="s">
        <v>99</v>
      </c>
      <c r="B10">
        <v>45</v>
      </c>
      <c r="D10" s="1">
        <v>43831</v>
      </c>
      <c r="E10" s="17" t="s">
        <v>201</v>
      </c>
      <c r="F10" s="17">
        <v>11</v>
      </c>
      <c r="G10" s="17">
        <v>11</v>
      </c>
      <c r="H10" s="17">
        <v>223</v>
      </c>
      <c r="I10" s="17">
        <v>223</v>
      </c>
      <c r="J10" s="17">
        <v>11</v>
      </c>
      <c r="K10" s="17">
        <v>223</v>
      </c>
      <c r="L10" s="17">
        <v>11</v>
      </c>
      <c r="M10" s="17">
        <v>223</v>
      </c>
      <c r="N10" s="1">
        <v>44234</v>
      </c>
      <c r="O10" t="s">
        <v>202</v>
      </c>
      <c r="P10" t="s">
        <v>180</v>
      </c>
      <c r="Q10" s="1">
        <v>44234</v>
      </c>
      <c r="R10" t="s">
        <v>112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27"/>
  <sheetViews>
    <sheetView showGridLines="0" workbookViewId="0">
      <selection activeCell="R19" sqref="R19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V20"/>
  <sheetViews>
    <sheetView topLeftCell="K1" workbookViewId="0">
      <selection activeCell="S1" sqref="S1"/>
    </sheetView>
  </sheetViews>
  <sheetFormatPr defaultRowHeight="15" x14ac:dyDescent="0.25"/>
  <cols>
    <col min="1" max="1" width="18" bestFit="1" customWidth="1"/>
    <col min="2" max="2" width="11.42578125" bestFit="1" customWidth="1"/>
    <col min="3" max="3" width="10.7109375" bestFit="1" customWidth="1"/>
    <col min="4" max="4" width="14.28515625" bestFit="1" customWidth="1"/>
    <col min="5" max="5" width="18" bestFit="1" customWidth="1"/>
    <col min="6" max="6" width="15.42578125" bestFit="1" customWidth="1"/>
    <col min="7" max="7" width="8.8554687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15.85546875" bestFit="1" customWidth="1"/>
    <col min="17" max="17" width="3.5703125" customWidth="1"/>
    <col min="18" max="18" width="18.85546875" bestFit="1" customWidth="1"/>
    <col min="19" max="19" width="11.85546875" customWidth="1"/>
    <col min="20" max="20" width="4.42578125" customWidth="1"/>
    <col min="21" max="21" width="10.85546875" customWidth="1"/>
    <col min="22" max="22" width="11.140625" customWidth="1"/>
  </cols>
  <sheetData>
    <row r="1" spans="1:22" ht="31.5" customHeight="1" x14ac:dyDescent="0.25"/>
    <row r="2" spans="1:22" x14ac:dyDescent="0.25">
      <c r="A2" s="53" t="s">
        <v>197</v>
      </c>
      <c r="B2" s="53" t="s">
        <v>64</v>
      </c>
      <c r="C2" s="53" t="s">
        <v>200</v>
      </c>
      <c r="D2" s="53" t="s">
        <v>160</v>
      </c>
      <c r="E2" s="53" t="s">
        <v>73</v>
      </c>
      <c r="F2" s="53" t="s">
        <v>75</v>
      </c>
      <c r="G2" s="53" t="s">
        <v>78</v>
      </c>
      <c r="H2" s="53" t="s">
        <v>79</v>
      </c>
      <c r="I2" s="53" t="s">
        <v>56</v>
      </c>
      <c r="J2" s="53" t="s">
        <v>177</v>
      </c>
      <c r="K2" s="53" t="s">
        <v>80</v>
      </c>
      <c r="L2" s="53" t="s">
        <v>81</v>
      </c>
      <c r="M2" s="53" t="s">
        <v>199</v>
      </c>
      <c r="N2" s="53" t="s">
        <v>178</v>
      </c>
      <c r="O2" s="53" t="s">
        <v>157</v>
      </c>
      <c r="P2" s="53" t="s">
        <v>158</v>
      </c>
      <c r="R2" s="60" t="s">
        <v>235</v>
      </c>
      <c r="S2" s="60"/>
      <c r="U2" s="60" t="s">
        <v>240</v>
      </c>
      <c r="V2" s="60"/>
    </row>
    <row r="3" spans="1:22" x14ac:dyDescent="0.25">
      <c r="A3" t="s">
        <v>116</v>
      </c>
      <c r="B3">
        <v>45</v>
      </c>
      <c r="C3" t="s">
        <v>227</v>
      </c>
      <c r="D3" s="1">
        <v>43831</v>
      </c>
      <c r="E3">
        <v>2</v>
      </c>
      <c r="F3">
        <v>50</v>
      </c>
      <c r="G3">
        <v>32</v>
      </c>
      <c r="H3">
        <v>14</v>
      </c>
      <c r="I3">
        <v>30</v>
      </c>
      <c r="J3">
        <v>1</v>
      </c>
      <c r="K3">
        <v>11</v>
      </c>
      <c r="L3">
        <v>462.1</v>
      </c>
      <c r="M3" t="s">
        <v>202</v>
      </c>
      <c r="N3" t="s">
        <v>179</v>
      </c>
      <c r="O3" s="1">
        <v>44234</v>
      </c>
      <c r="P3" t="s">
        <v>115</v>
      </c>
      <c r="R3" s="42" t="s">
        <v>113</v>
      </c>
      <c r="S3" s="17">
        <f>SUMIF(P:P,$R3,L:L)</f>
        <v>223</v>
      </c>
      <c r="U3" t="s">
        <v>202</v>
      </c>
      <c r="V3" s="17">
        <f>SUMIF(M:M,U3,L:L)</f>
        <v>701.1</v>
      </c>
    </row>
    <row r="4" spans="1:22" x14ac:dyDescent="0.25">
      <c r="A4" t="s">
        <v>116</v>
      </c>
      <c r="B4">
        <v>45</v>
      </c>
      <c r="C4" t="s">
        <v>227</v>
      </c>
      <c r="D4" s="1">
        <v>43831</v>
      </c>
      <c r="E4" t="s">
        <v>204</v>
      </c>
      <c r="F4">
        <v>11</v>
      </c>
      <c r="G4">
        <v>11</v>
      </c>
      <c r="H4">
        <v>223</v>
      </c>
      <c r="I4">
        <v>223</v>
      </c>
      <c r="J4">
        <v>11</v>
      </c>
      <c r="K4">
        <v>11</v>
      </c>
      <c r="L4">
        <v>223</v>
      </c>
      <c r="M4" t="s">
        <v>231</v>
      </c>
      <c r="N4" t="s">
        <v>180</v>
      </c>
      <c r="O4" s="1">
        <v>44247</v>
      </c>
      <c r="P4" t="s">
        <v>112</v>
      </c>
      <c r="R4" s="43" t="s">
        <v>112</v>
      </c>
      <c r="S4" s="17">
        <f t="shared" ref="S4:S9" si="0">SUMIF(P:P,$R4,L:L)</f>
        <v>446</v>
      </c>
      <c r="U4" t="s">
        <v>231</v>
      </c>
      <c r="V4" s="17">
        <f>SUMIF(M:M,U4,L:L)</f>
        <v>446</v>
      </c>
    </row>
    <row r="5" spans="1:22" x14ac:dyDescent="0.25">
      <c r="A5" t="s">
        <v>116</v>
      </c>
      <c r="B5">
        <v>785</v>
      </c>
      <c r="C5" t="s">
        <v>227</v>
      </c>
      <c r="D5" s="1">
        <v>44234</v>
      </c>
      <c r="E5">
        <v>10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16</v>
      </c>
      <c r="M5" t="s">
        <v>202</v>
      </c>
      <c r="N5" t="s">
        <v>179</v>
      </c>
      <c r="O5" s="1">
        <v>44234</v>
      </c>
      <c r="P5" t="s">
        <v>115</v>
      </c>
      <c r="R5" s="42" t="s">
        <v>110</v>
      </c>
      <c r="S5" s="17">
        <f t="shared" si="0"/>
        <v>0</v>
      </c>
    </row>
    <row r="6" spans="1:22" x14ac:dyDescent="0.25">
      <c r="A6" t="s">
        <v>116</v>
      </c>
      <c r="B6">
        <v>987</v>
      </c>
      <c r="C6" t="s">
        <v>227</v>
      </c>
      <c r="D6" s="1">
        <v>44379</v>
      </c>
      <c r="E6" t="s">
        <v>219</v>
      </c>
      <c r="F6" t="s">
        <v>214</v>
      </c>
      <c r="G6" t="s">
        <v>227</v>
      </c>
      <c r="H6" t="s">
        <v>227</v>
      </c>
      <c r="I6" t="s">
        <v>210</v>
      </c>
      <c r="J6" t="s">
        <v>215</v>
      </c>
      <c r="K6" t="s">
        <v>217</v>
      </c>
      <c r="L6" t="s">
        <v>218</v>
      </c>
      <c r="M6" t="s">
        <v>202</v>
      </c>
      <c r="N6" t="s">
        <v>179</v>
      </c>
      <c r="O6" s="1">
        <v>44234</v>
      </c>
      <c r="P6" t="s">
        <v>111</v>
      </c>
      <c r="R6" s="43" t="s">
        <v>115</v>
      </c>
      <c r="S6" s="17">
        <f t="shared" si="0"/>
        <v>478.1</v>
      </c>
    </row>
    <row r="7" spans="1:22" x14ac:dyDescent="0.25">
      <c r="A7" t="s">
        <v>99</v>
      </c>
      <c r="B7">
        <v>45</v>
      </c>
      <c r="C7" t="s">
        <v>227</v>
      </c>
      <c r="D7" s="1">
        <v>43831</v>
      </c>
      <c r="E7" t="s">
        <v>213</v>
      </c>
      <c r="F7" t="s">
        <v>205</v>
      </c>
      <c r="G7" t="s">
        <v>206</v>
      </c>
      <c r="H7" t="s">
        <v>207</v>
      </c>
      <c r="I7" t="s">
        <v>210</v>
      </c>
      <c r="J7" t="s">
        <v>211</v>
      </c>
      <c r="K7" t="s">
        <v>208</v>
      </c>
      <c r="L7" t="s">
        <v>209</v>
      </c>
      <c r="M7" t="s">
        <v>231</v>
      </c>
      <c r="N7" t="s">
        <v>179</v>
      </c>
      <c r="O7" s="1">
        <v>44234</v>
      </c>
      <c r="P7" t="s">
        <v>113</v>
      </c>
      <c r="R7" s="42" t="s">
        <v>111</v>
      </c>
      <c r="S7" s="17">
        <f t="shared" si="0"/>
        <v>0</v>
      </c>
    </row>
    <row r="8" spans="1:22" x14ac:dyDescent="0.25">
      <c r="A8" t="s">
        <v>99</v>
      </c>
      <c r="B8">
        <v>45</v>
      </c>
      <c r="C8" t="s">
        <v>227</v>
      </c>
      <c r="D8" s="1">
        <v>43831</v>
      </c>
      <c r="E8" t="s">
        <v>204</v>
      </c>
      <c r="F8">
        <v>11</v>
      </c>
      <c r="G8">
        <v>11</v>
      </c>
      <c r="H8">
        <v>223</v>
      </c>
      <c r="I8">
        <v>223</v>
      </c>
      <c r="J8">
        <v>11</v>
      </c>
      <c r="K8">
        <v>11</v>
      </c>
      <c r="L8">
        <v>223</v>
      </c>
      <c r="M8" t="s">
        <v>231</v>
      </c>
      <c r="N8" t="s">
        <v>180</v>
      </c>
      <c r="O8" s="1">
        <v>44234</v>
      </c>
      <c r="P8" t="s">
        <v>113</v>
      </c>
      <c r="R8" s="43" t="s">
        <v>236</v>
      </c>
      <c r="S8" s="17">
        <f t="shared" si="0"/>
        <v>0</v>
      </c>
    </row>
    <row r="9" spans="1:22" x14ac:dyDescent="0.25">
      <c r="A9" t="s">
        <v>99</v>
      </c>
      <c r="B9">
        <v>45</v>
      </c>
      <c r="C9" t="s">
        <v>227</v>
      </c>
      <c r="D9" s="1">
        <v>43831</v>
      </c>
      <c r="E9" t="s">
        <v>201</v>
      </c>
      <c r="F9">
        <v>11</v>
      </c>
      <c r="G9">
        <v>11</v>
      </c>
      <c r="H9">
        <v>223</v>
      </c>
      <c r="I9">
        <v>223</v>
      </c>
      <c r="J9">
        <v>11</v>
      </c>
      <c r="K9">
        <v>11</v>
      </c>
      <c r="L9">
        <v>223</v>
      </c>
      <c r="M9" t="s">
        <v>202</v>
      </c>
      <c r="N9" t="s">
        <v>180</v>
      </c>
      <c r="O9" s="1">
        <v>44234</v>
      </c>
      <c r="P9" t="s">
        <v>112</v>
      </c>
      <c r="R9" s="42" t="s">
        <v>238</v>
      </c>
      <c r="S9" s="17">
        <f t="shared" si="0"/>
        <v>0</v>
      </c>
    </row>
    <row r="10" spans="1:22" x14ac:dyDescent="0.25">
      <c r="A10" t="s">
        <v>91</v>
      </c>
      <c r="B10">
        <v>45</v>
      </c>
      <c r="C10" t="s">
        <v>227</v>
      </c>
      <c r="D10" s="1">
        <v>43831</v>
      </c>
      <c r="E10" t="s">
        <v>221</v>
      </c>
      <c r="F10" t="s">
        <v>206</v>
      </c>
      <c r="G10" t="s">
        <v>211</v>
      </c>
      <c r="H10" t="s">
        <v>212</v>
      </c>
      <c r="I10" t="s">
        <v>207</v>
      </c>
      <c r="J10" t="s">
        <v>208</v>
      </c>
      <c r="K10">
        <v>11</v>
      </c>
      <c r="L10" t="s">
        <v>220</v>
      </c>
      <c r="M10" t="s">
        <v>202</v>
      </c>
      <c r="N10" t="s">
        <v>180</v>
      </c>
      <c r="O10" s="1">
        <v>44234</v>
      </c>
      <c r="P10" t="s">
        <v>234</v>
      </c>
      <c r="R10" s="54"/>
      <c r="S10" s="17"/>
    </row>
    <row r="11" spans="1:22" x14ac:dyDescent="0.25">
      <c r="R11" s="54"/>
      <c r="S11" s="17"/>
    </row>
    <row r="12" spans="1:22" x14ac:dyDescent="0.25">
      <c r="S12" s="17"/>
    </row>
    <row r="13" spans="1:22" x14ac:dyDescent="0.25">
      <c r="S13" s="17"/>
    </row>
    <row r="14" spans="1:22" x14ac:dyDescent="0.25">
      <c r="S14" s="17"/>
    </row>
    <row r="15" spans="1:22" x14ac:dyDescent="0.25">
      <c r="S15" s="17"/>
    </row>
    <row r="16" spans="1:22" x14ac:dyDescent="0.25">
      <c r="S16" s="17"/>
    </row>
    <row r="17" spans="19:19" x14ac:dyDescent="0.25">
      <c r="S17" s="17"/>
    </row>
    <row r="18" spans="19:19" x14ac:dyDescent="0.25">
      <c r="S18" s="17"/>
    </row>
    <row r="19" spans="19:19" x14ac:dyDescent="0.25">
      <c r="S19" s="17"/>
    </row>
    <row r="20" spans="19:19" x14ac:dyDescent="0.25">
      <c r="S20" s="17"/>
    </row>
  </sheetData>
  <mergeCells count="2">
    <mergeCell ref="R2:S2"/>
    <mergeCell ref="U2:V2"/>
  </mergeCells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AA159"/>
  <sheetViews>
    <sheetView showGridLines="0" workbookViewId="0">
      <selection sqref="A1:Q1"/>
    </sheetView>
  </sheetViews>
  <sheetFormatPr defaultRowHeight="15" x14ac:dyDescent="0.25"/>
  <cols>
    <col min="1" max="1" width="18.140625" bestFit="1" customWidth="1"/>
    <col min="2" max="2" width="15.85546875" bestFit="1" customWidth="1"/>
    <col min="3" max="3" width="11.42578125" bestFit="1" customWidth="1"/>
    <col min="4" max="4" width="10.7109375" bestFit="1" customWidth="1"/>
    <col min="5" max="5" width="14.28515625" style="17" bestFit="1" customWidth="1"/>
    <col min="6" max="6" width="18" style="17" bestFit="1" customWidth="1"/>
    <col min="7" max="7" width="15.42578125" style="17" bestFit="1" customWidth="1"/>
    <col min="8" max="8" width="11.7109375" style="17" bestFit="1" customWidth="1"/>
    <col min="9" max="9" width="11.85546875" style="17" bestFit="1" customWidth="1"/>
    <col min="10" max="10" width="12.28515625" style="17" bestFit="1" customWidth="1"/>
    <col min="11" max="11" width="18.5703125" style="17" bestFit="1" customWidth="1"/>
    <col min="12" max="12" width="19.140625" style="17" bestFit="1" customWidth="1"/>
    <col min="13" max="13" width="11.140625" style="17" bestFit="1" customWidth="1"/>
    <col min="14" max="14" width="18.140625" bestFit="1" customWidth="1"/>
    <col min="15" max="15" width="7.42578125" bestFit="1" customWidth="1"/>
    <col min="16" max="16" width="10" bestFit="1" customWidth="1"/>
    <col min="17" max="17" width="17.28515625" bestFit="1" customWidth="1"/>
    <col min="18" max="18" width="15" bestFit="1" customWidth="1"/>
    <col min="19" max="30" width="7.5703125" customWidth="1"/>
  </cols>
  <sheetData>
    <row r="1" spans="1:27" ht="36" customHeight="1" thickBot="1" x14ac:dyDescent="0.4">
      <c r="A1" s="63" t="s">
        <v>223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x14ac:dyDescent="0.25">
      <c r="A2" t="s">
        <v>182</v>
      </c>
      <c r="B2" s="28">
        <v>43831</v>
      </c>
      <c r="C2" s="26" t="s">
        <v>181</v>
      </c>
      <c r="D2" s="28">
        <v>43831</v>
      </c>
      <c r="F2" s="50" t="s">
        <v>160</v>
      </c>
      <c r="G2" s="50" t="s">
        <v>160</v>
      </c>
      <c r="H2" s="51" t="s">
        <v>197</v>
      </c>
      <c r="I2" s="51" t="s">
        <v>158</v>
      </c>
      <c r="J2" s="51" t="s">
        <v>178</v>
      </c>
      <c r="K2" s="51" t="s">
        <v>199</v>
      </c>
      <c r="L2" s="55"/>
      <c r="O2" s="29"/>
      <c r="P2" s="29"/>
      <c r="Q2" s="37"/>
      <c r="R2" s="37"/>
      <c r="S2" s="37"/>
      <c r="T2" s="29"/>
      <c r="U2" s="29"/>
      <c r="V2" s="29"/>
      <c r="W2" s="29"/>
      <c r="X2" s="29"/>
      <c r="Y2" s="29"/>
      <c r="Z2" s="29"/>
      <c r="AA2" s="29"/>
    </row>
    <row r="3" spans="1:27" x14ac:dyDescent="0.25">
      <c r="A3" s="27" t="s">
        <v>183</v>
      </c>
      <c r="B3" s="62"/>
      <c r="C3" s="62"/>
      <c r="D3" s="62"/>
      <c r="E3" s="46"/>
      <c r="F3" s="52" t="str">
        <f>"&gt;="&amp;IF($B$2="",0,$B$2)</f>
        <v>&gt;=43831</v>
      </c>
      <c r="G3" s="52" t="str">
        <f>"&lt;="&amp;IF($D$2="",99999,$D$2)</f>
        <v>&lt;=43831</v>
      </c>
      <c r="H3" s="52" t="str">
        <f>IF($B$3&lt;&gt;"",$B$3,"")</f>
        <v/>
      </c>
      <c r="I3" s="52" t="str">
        <f>IF($B$4&lt;&gt;"",$B$4,"")</f>
        <v/>
      </c>
      <c r="J3" s="52" t="str">
        <f>IF($B$5&lt;&gt;"",$B$5,"")</f>
        <v>Liquidado</v>
      </c>
      <c r="K3" s="52" t="str">
        <f>IF($B$6&lt;&gt;"",$B$6,"")</f>
        <v>Pericia</v>
      </c>
      <c r="L3" s="55"/>
      <c r="O3" s="29"/>
      <c r="P3" s="29"/>
      <c r="Q3" s="37"/>
      <c r="R3" s="37"/>
      <c r="S3" s="37"/>
      <c r="T3" s="29"/>
      <c r="U3" s="29"/>
      <c r="V3" s="29"/>
      <c r="W3" s="29"/>
      <c r="X3" s="29"/>
      <c r="Y3" s="29"/>
      <c r="Z3" s="29"/>
      <c r="AA3" s="29"/>
    </row>
    <row r="4" spans="1:27" x14ac:dyDescent="0.25">
      <c r="A4" s="27" t="s">
        <v>184</v>
      </c>
      <c r="B4" s="62"/>
      <c r="C4" s="62"/>
      <c r="D4" s="62"/>
      <c r="E4" s="46"/>
      <c r="F4" s="56"/>
      <c r="G4" s="55"/>
      <c r="H4" s="57"/>
      <c r="I4" s="57"/>
      <c r="J4" s="57"/>
      <c r="K4" s="57"/>
      <c r="L4" s="55"/>
      <c r="M4" s="47"/>
      <c r="N4" s="29"/>
      <c r="O4" s="29"/>
      <c r="P4" s="29"/>
      <c r="Q4" s="37"/>
      <c r="R4" s="37"/>
      <c r="S4" s="37"/>
      <c r="T4" s="29"/>
      <c r="U4" s="29"/>
      <c r="V4" s="29"/>
      <c r="W4" s="29"/>
      <c r="X4" s="29"/>
      <c r="Y4" s="29"/>
      <c r="Z4" s="29"/>
      <c r="AA4" s="29"/>
    </row>
    <row r="5" spans="1:27" x14ac:dyDescent="0.25">
      <c r="A5" s="31" t="s">
        <v>188</v>
      </c>
      <c r="B5" s="62" t="s">
        <v>180</v>
      </c>
      <c r="C5" s="62"/>
      <c r="D5" s="27" t="s">
        <v>226</v>
      </c>
      <c r="E5" s="48"/>
      <c r="F5" s="58"/>
      <c r="G5" s="55"/>
      <c r="H5" s="55"/>
      <c r="I5" s="55"/>
      <c r="J5" s="55"/>
      <c r="K5" s="55"/>
      <c r="L5" s="55"/>
      <c r="M5" s="47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27" x14ac:dyDescent="0.25">
      <c r="A6" s="31" t="s">
        <v>224</v>
      </c>
      <c r="B6" s="61" t="s">
        <v>231</v>
      </c>
      <c r="C6" s="61"/>
      <c r="D6" t="s">
        <v>225</v>
      </c>
      <c r="E6" s="49"/>
      <c r="F6" s="59"/>
      <c r="G6" s="55"/>
      <c r="H6" s="55"/>
      <c r="I6" s="55"/>
      <c r="J6" s="55"/>
      <c r="K6" s="55"/>
      <c r="L6" s="55"/>
      <c r="M6" s="47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</row>
    <row r="7" spans="1:27" x14ac:dyDescent="0.25">
      <c r="A7" s="18" t="s">
        <v>197</v>
      </c>
      <c r="B7" s="18" t="s">
        <v>64</v>
      </c>
      <c r="C7" s="18" t="s">
        <v>200</v>
      </c>
      <c r="D7" s="18" t="s">
        <v>160</v>
      </c>
      <c r="E7" s="16" t="s">
        <v>229</v>
      </c>
      <c r="F7" s="16" t="s">
        <v>75</v>
      </c>
      <c r="G7" s="16" t="s">
        <v>78</v>
      </c>
      <c r="H7" s="16" t="s">
        <v>79</v>
      </c>
      <c r="I7" s="16" t="s">
        <v>230</v>
      </c>
      <c r="J7" s="16" t="s">
        <v>177</v>
      </c>
      <c r="K7" s="16" t="s">
        <v>228</v>
      </c>
      <c r="L7" s="16" t="s">
        <v>80</v>
      </c>
      <c r="M7" s="16" t="s">
        <v>81</v>
      </c>
      <c r="N7" s="39" t="s">
        <v>198</v>
      </c>
      <c r="O7" s="39" t="s">
        <v>199</v>
      </c>
      <c r="P7" s="39" t="s">
        <v>178</v>
      </c>
      <c r="Q7" s="39" t="s">
        <v>222</v>
      </c>
      <c r="R7" s="39" t="s">
        <v>158</v>
      </c>
    </row>
    <row r="8" spans="1:27" x14ac:dyDescent="0.25">
      <c r="A8" t="s">
        <v>116</v>
      </c>
      <c r="B8">
        <v>45</v>
      </c>
      <c r="D8" s="1">
        <v>43831</v>
      </c>
      <c r="E8" s="17">
        <v>120</v>
      </c>
      <c r="F8" s="17">
        <v>11</v>
      </c>
      <c r="G8" s="17">
        <v>11</v>
      </c>
      <c r="H8" s="17">
        <v>602.1</v>
      </c>
      <c r="I8" s="17">
        <v>223</v>
      </c>
      <c r="J8" s="17">
        <v>11</v>
      </c>
      <c r="K8" s="17">
        <v>1710.1</v>
      </c>
      <c r="L8" s="17">
        <v>11</v>
      </c>
      <c r="M8" s="17">
        <v>223</v>
      </c>
      <c r="N8" s="1">
        <v>44234</v>
      </c>
      <c r="O8" t="s">
        <v>231</v>
      </c>
      <c r="P8" t="s">
        <v>180</v>
      </c>
      <c r="Q8" s="1">
        <v>44246</v>
      </c>
      <c r="R8" s="41" t="s">
        <v>112</v>
      </c>
    </row>
    <row r="9" spans="1:27" x14ac:dyDescent="0.25">
      <c r="D9" s="1"/>
      <c r="N9" s="1"/>
      <c r="Q9" s="1"/>
      <c r="R9" s="1"/>
    </row>
    <row r="10" spans="1:27" x14ac:dyDescent="0.25">
      <c r="D10" s="1"/>
      <c r="N10" s="1"/>
      <c r="Q10" s="1"/>
      <c r="R10" s="1"/>
    </row>
    <row r="11" spans="1:27" x14ac:dyDescent="0.25">
      <c r="D11" s="1"/>
      <c r="N11" s="1"/>
      <c r="Q11" s="1"/>
      <c r="R11" s="1"/>
    </row>
    <row r="12" spans="1:27" x14ac:dyDescent="0.25">
      <c r="D12" s="1"/>
      <c r="N12" s="1"/>
      <c r="Q12" s="1"/>
      <c r="R12" s="1"/>
    </row>
    <row r="13" spans="1:27" x14ac:dyDescent="0.25">
      <c r="D13" s="1"/>
      <c r="N13" s="1"/>
      <c r="Q13" s="1"/>
      <c r="R13" s="41"/>
    </row>
    <row r="14" spans="1:27" x14ac:dyDescent="0.25">
      <c r="D14" s="1"/>
      <c r="N14" s="1"/>
      <c r="Q14" s="1"/>
      <c r="R14" s="1"/>
    </row>
    <row r="15" spans="1:27" x14ac:dyDescent="0.25">
      <c r="D15" s="1"/>
      <c r="N15" s="1"/>
      <c r="Q15" s="1"/>
      <c r="R15" s="1"/>
    </row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spans="5:13" x14ac:dyDescent="0.25">
      <c r="E113"/>
      <c r="F113"/>
      <c r="G113"/>
      <c r="H113"/>
      <c r="I113"/>
      <c r="J113"/>
      <c r="K113"/>
      <c r="L113"/>
      <c r="M113"/>
    </row>
    <row r="114" spans="5:13" x14ac:dyDescent="0.25">
      <c r="E114"/>
      <c r="F114"/>
      <c r="G114"/>
      <c r="H114"/>
      <c r="I114"/>
      <c r="J114"/>
      <c r="K114"/>
      <c r="L114"/>
      <c r="M114"/>
    </row>
    <row r="115" spans="5:13" x14ac:dyDescent="0.25">
      <c r="E115"/>
      <c r="F115"/>
      <c r="G115"/>
      <c r="H115"/>
      <c r="I115"/>
      <c r="J115"/>
      <c r="K115"/>
      <c r="L115"/>
      <c r="M115"/>
    </row>
    <row r="116" spans="5:13" x14ac:dyDescent="0.25">
      <c r="E116"/>
      <c r="F116"/>
    </row>
    <row r="117" spans="5:13" x14ac:dyDescent="0.25">
      <c r="E117"/>
      <c r="F117"/>
    </row>
    <row r="118" spans="5:13" x14ac:dyDescent="0.25">
      <c r="E118"/>
      <c r="F118"/>
    </row>
    <row r="119" spans="5:13" x14ac:dyDescent="0.25">
      <c r="E119"/>
      <c r="F119"/>
    </row>
    <row r="120" spans="5:13" x14ac:dyDescent="0.25">
      <c r="E120"/>
      <c r="F120"/>
    </row>
    <row r="121" spans="5:13" x14ac:dyDescent="0.25">
      <c r="E121"/>
      <c r="F121"/>
    </row>
    <row r="122" spans="5:13" x14ac:dyDescent="0.25">
      <c r="E122"/>
      <c r="F122"/>
    </row>
    <row r="123" spans="5:13" x14ac:dyDescent="0.25">
      <c r="E123"/>
      <c r="F123"/>
    </row>
    <row r="124" spans="5:13" x14ac:dyDescent="0.25">
      <c r="E124"/>
      <c r="F124"/>
    </row>
    <row r="125" spans="5:13" x14ac:dyDescent="0.25">
      <c r="E125"/>
      <c r="F125"/>
    </row>
    <row r="126" spans="5:13" x14ac:dyDescent="0.25">
      <c r="E126"/>
      <c r="F126"/>
    </row>
    <row r="127" spans="5:13" x14ac:dyDescent="0.25">
      <c r="E127"/>
      <c r="F127"/>
    </row>
    <row r="128" spans="5:13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</sheetData>
  <mergeCells count="5">
    <mergeCell ref="B6:C6"/>
    <mergeCell ref="B3:D3"/>
    <mergeCell ref="B4:D4"/>
    <mergeCell ref="B5:C5"/>
    <mergeCell ref="A1:Q1"/>
  </mergeCells>
  <dataValidations count="2">
    <dataValidation type="list" allowBlank="1" showInputMessage="1" showErrorMessage="1" sqref="B3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/>
  <dimension ref="A1:AA159"/>
  <sheetViews>
    <sheetView showGridLines="0" workbookViewId="0">
      <selection activeCell="F5" sqref="F5"/>
    </sheetView>
  </sheetViews>
  <sheetFormatPr defaultRowHeight="15" x14ac:dyDescent="0.25"/>
  <cols>
    <col min="1" max="1" width="18.140625" bestFit="1" customWidth="1"/>
    <col min="2" max="2" width="15.85546875" bestFit="1" customWidth="1"/>
    <col min="3" max="3" width="11.42578125" bestFit="1" customWidth="1"/>
    <col min="4" max="4" width="10.7109375" bestFit="1" customWidth="1"/>
    <col min="5" max="5" width="14.28515625" style="17" bestFit="1" customWidth="1"/>
    <col min="6" max="6" width="18" style="17" bestFit="1" customWidth="1"/>
    <col min="7" max="7" width="15.42578125" style="17" bestFit="1" customWidth="1"/>
    <col min="8" max="8" width="11.7109375" style="17" bestFit="1" customWidth="1"/>
    <col min="9" max="9" width="11.85546875" style="17" bestFit="1" customWidth="1"/>
    <col min="10" max="10" width="12.28515625" style="17" bestFit="1" customWidth="1"/>
    <col min="11" max="11" width="18.5703125" style="17" bestFit="1" customWidth="1"/>
    <col min="12" max="12" width="19.140625" style="17" bestFit="1" customWidth="1"/>
    <col min="13" max="13" width="11.140625" style="17" bestFit="1" customWidth="1"/>
    <col min="14" max="14" width="18.140625" bestFit="1" customWidth="1"/>
    <col min="15" max="15" width="7.42578125" bestFit="1" customWidth="1"/>
    <col min="16" max="16" width="10" bestFit="1" customWidth="1"/>
    <col min="17" max="17" width="17.28515625" bestFit="1" customWidth="1"/>
    <col min="18" max="18" width="15" bestFit="1" customWidth="1"/>
    <col min="19" max="30" width="7.5703125" customWidth="1"/>
  </cols>
  <sheetData>
    <row r="1" spans="1:27" ht="36" customHeight="1" thickBot="1" x14ac:dyDescent="0.4">
      <c r="A1" s="63" t="s">
        <v>232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x14ac:dyDescent="0.25">
      <c r="A2" t="s">
        <v>182</v>
      </c>
      <c r="B2" s="28">
        <v>43831</v>
      </c>
      <c r="C2" s="26" t="s">
        <v>181</v>
      </c>
      <c r="D2" s="28">
        <v>43831</v>
      </c>
      <c r="F2" s="50" t="s">
        <v>160</v>
      </c>
      <c r="G2" s="50" t="s">
        <v>160</v>
      </c>
      <c r="H2" s="51" t="s">
        <v>197</v>
      </c>
      <c r="I2" s="51" t="s">
        <v>158</v>
      </c>
      <c r="J2" s="51" t="s">
        <v>178</v>
      </c>
      <c r="K2" s="51" t="s">
        <v>199</v>
      </c>
      <c r="L2" s="55"/>
      <c r="O2" s="29"/>
      <c r="P2" s="29"/>
      <c r="Q2" s="37"/>
      <c r="R2" s="37"/>
      <c r="S2" s="37"/>
      <c r="T2" s="29"/>
      <c r="U2" s="29"/>
      <c r="V2" s="29"/>
      <c r="W2" s="29"/>
      <c r="X2" s="29"/>
      <c r="Y2" s="29"/>
      <c r="Z2" s="29"/>
      <c r="AA2" s="29"/>
    </row>
    <row r="3" spans="1:27" x14ac:dyDescent="0.25">
      <c r="A3" s="27" t="s">
        <v>183</v>
      </c>
      <c r="B3" s="62"/>
      <c r="C3" s="62"/>
      <c r="D3" s="62"/>
      <c r="E3" s="46"/>
      <c r="F3" s="52" t="str">
        <f>"&gt;="&amp;IF($B$2="",0,$B$2)</f>
        <v>&gt;=43831</v>
      </c>
      <c r="G3" s="52" t="str">
        <f>"&lt;="&amp;IF($D$2="",99999,$D$2)</f>
        <v>&lt;=43831</v>
      </c>
      <c r="H3" s="52" t="str">
        <f>IF($B$3&lt;&gt;"",$B$3,"")</f>
        <v/>
      </c>
      <c r="I3" s="52" t="str">
        <f>IF($B$4&lt;&gt;"",$B$4,"")</f>
        <v/>
      </c>
      <c r="J3" s="52" t="str">
        <f>IF($B$5&lt;&gt;"",$B$5,"")</f>
        <v/>
      </c>
      <c r="K3" s="52" t="str">
        <f>IF($B$6&lt;&gt;"",$B$6,"")</f>
        <v/>
      </c>
      <c r="L3" s="55"/>
      <c r="O3" s="29"/>
      <c r="P3" s="29"/>
      <c r="Q3" s="37"/>
      <c r="R3" s="37"/>
      <c r="S3" s="37"/>
      <c r="T3" s="29"/>
      <c r="U3" s="29"/>
      <c r="V3" s="29"/>
      <c r="W3" s="29"/>
      <c r="X3" s="29"/>
      <c r="Y3" s="29"/>
      <c r="Z3" s="29"/>
      <c r="AA3" s="29"/>
    </row>
    <row r="4" spans="1:27" x14ac:dyDescent="0.25">
      <c r="A4" s="27" t="s">
        <v>184</v>
      </c>
      <c r="B4" s="62"/>
      <c r="C4" s="62"/>
      <c r="D4" s="62"/>
      <c r="E4" s="46"/>
      <c r="F4" s="56"/>
      <c r="G4" s="55"/>
      <c r="H4" s="57"/>
      <c r="I4" s="57"/>
      <c r="J4" s="57"/>
      <c r="K4" s="57"/>
      <c r="L4" s="55"/>
      <c r="M4" s="47"/>
      <c r="N4" s="29"/>
      <c r="O4" s="29"/>
      <c r="P4" s="29"/>
      <c r="Q4" s="37"/>
      <c r="R4" s="37"/>
      <c r="S4" s="37"/>
      <c r="T4" s="29"/>
      <c r="U4" s="29"/>
      <c r="V4" s="29"/>
      <c r="W4" s="29"/>
      <c r="X4" s="29"/>
      <c r="Y4" s="29"/>
      <c r="Z4" s="29"/>
      <c r="AA4" s="29"/>
    </row>
    <row r="5" spans="1:27" x14ac:dyDescent="0.25">
      <c r="A5" s="31" t="s">
        <v>188</v>
      </c>
      <c r="B5" s="62"/>
      <c r="C5" s="62"/>
      <c r="D5" s="27" t="s">
        <v>226</v>
      </c>
      <c r="E5" s="48"/>
      <c r="F5" s="58"/>
      <c r="G5" s="55"/>
      <c r="H5" s="55"/>
      <c r="I5" s="55"/>
      <c r="J5" s="55"/>
      <c r="K5" s="55"/>
      <c r="L5" s="55"/>
      <c r="M5" s="47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27" x14ac:dyDescent="0.25">
      <c r="A6" s="31" t="s">
        <v>224</v>
      </c>
      <c r="B6" s="61"/>
      <c r="C6" s="61"/>
      <c r="D6" t="s">
        <v>225</v>
      </c>
      <c r="E6" s="49"/>
      <c r="F6" s="59"/>
      <c r="G6" s="55"/>
      <c r="H6" s="55"/>
      <c r="I6" s="55"/>
      <c r="J6" s="55"/>
      <c r="K6" s="55"/>
      <c r="L6" s="55"/>
      <c r="M6" s="47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</row>
    <row r="7" spans="1:27" x14ac:dyDescent="0.25">
      <c r="A7" s="44" t="s">
        <v>197</v>
      </c>
      <c r="B7" s="18" t="s">
        <v>64</v>
      </c>
      <c r="C7" s="18" t="s">
        <v>200</v>
      </c>
      <c r="D7" s="18" t="s">
        <v>160</v>
      </c>
      <c r="E7" s="18" t="s">
        <v>73</v>
      </c>
      <c r="F7" s="18" t="s">
        <v>75</v>
      </c>
      <c r="G7" s="18" t="s">
        <v>78</v>
      </c>
      <c r="H7" s="18" t="s">
        <v>79</v>
      </c>
      <c r="I7" s="18" t="s">
        <v>56</v>
      </c>
      <c r="J7" s="18" t="s">
        <v>177</v>
      </c>
      <c r="K7" s="18" t="s">
        <v>59</v>
      </c>
      <c r="L7" s="18" t="s">
        <v>80</v>
      </c>
      <c r="M7" s="18" t="s">
        <v>81</v>
      </c>
      <c r="N7" s="18" t="s">
        <v>198</v>
      </c>
      <c r="O7" s="18" t="s">
        <v>199</v>
      </c>
      <c r="P7" s="18" t="s">
        <v>178</v>
      </c>
      <c r="Q7" s="18" t="s">
        <v>157</v>
      </c>
      <c r="R7" s="45" t="s">
        <v>158</v>
      </c>
    </row>
    <row r="8" spans="1:27" x14ac:dyDescent="0.25">
      <c r="A8" t="s">
        <v>2</v>
      </c>
      <c r="B8">
        <v>45</v>
      </c>
      <c r="D8" s="1">
        <v>43831</v>
      </c>
      <c r="E8" s="17" t="s">
        <v>201</v>
      </c>
      <c r="F8" s="17">
        <v>11</v>
      </c>
      <c r="G8" s="17">
        <v>11</v>
      </c>
      <c r="H8" s="17">
        <v>223</v>
      </c>
      <c r="I8" s="17">
        <v>223</v>
      </c>
      <c r="J8" s="17">
        <v>11</v>
      </c>
      <c r="K8" s="17">
        <v>223</v>
      </c>
      <c r="L8" s="17">
        <v>11</v>
      </c>
      <c r="M8" s="17">
        <v>223</v>
      </c>
      <c r="N8" s="1">
        <v>44234</v>
      </c>
      <c r="O8" t="s">
        <v>202</v>
      </c>
      <c r="P8" t="s">
        <v>179</v>
      </c>
      <c r="Q8" s="1">
        <v>44234</v>
      </c>
      <c r="R8" t="s">
        <v>179</v>
      </c>
    </row>
    <row r="9" spans="1:27" x14ac:dyDescent="0.25">
      <c r="A9" t="s">
        <v>2</v>
      </c>
      <c r="B9">
        <v>45</v>
      </c>
      <c r="D9" s="1">
        <v>43831</v>
      </c>
      <c r="E9" s="17" t="s">
        <v>204</v>
      </c>
      <c r="F9" s="17">
        <v>11</v>
      </c>
      <c r="G9" s="17">
        <v>11</v>
      </c>
      <c r="H9" s="17">
        <v>223</v>
      </c>
      <c r="I9" s="17">
        <v>223</v>
      </c>
      <c r="J9" s="17">
        <v>11</v>
      </c>
      <c r="K9" s="17">
        <v>223</v>
      </c>
      <c r="L9" s="17">
        <v>11</v>
      </c>
      <c r="M9" s="17">
        <v>223</v>
      </c>
      <c r="N9" s="1">
        <v>44234</v>
      </c>
      <c r="O9" t="s">
        <v>202</v>
      </c>
      <c r="P9" t="s">
        <v>179</v>
      </c>
      <c r="Q9" s="1">
        <v>44234</v>
      </c>
      <c r="R9" t="s">
        <v>179</v>
      </c>
    </row>
    <row r="10" spans="1:27" x14ac:dyDescent="0.25">
      <c r="A10" t="s">
        <v>2</v>
      </c>
      <c r="B10">
        <v>45</v>
      </c>
      <c r="D10" s="1">
        <v>43831</v>
      </c>
      <c r="E10" s="17" t="s">
        <v>204</v>
      </c>
      <c r="F10" s="17">
        <v>11</v>
      </c>
      <c r="G10" s="17">
        <v>11</v>
      </c>
      <c r="H10" s="17">
        <v>223</v>
      </c>
      <c r="I10" s="17">
        <v>223</v>
      </c>
      <c r="J10" s="17">
        <v>11</v>
      </c>
      <c r="K10" s="17">
        <v>223</v>
      </c>
      <c r="L10" s="17">
        <v>11</v>
      </c>
      <c r="M10" s="17">
        <v>223</v>
      </c>
      <c r="N10" s="1">
        <v>44234</v>
      </c>
      <c r="O10" t="s">
        <v>202</v>
      </c>
      <c r="P10" t="s">
        <v>179</v>
      </c>
      <c r="Q10" s="1">
        <v>44234</v>
      </c>
      <c r="R10" t="s">
        <v>179</v>
      </c>
    </row>
    <row r="11" spans="1:27" x14ac:dyDescent="0.25">
      <c r="A11" t="s">
        <v>2</v>
      </c>
      <c r="B11">
        <v>45</v>
      </c>
      <c r="D11" s="1">
        <v>43831</v>
      </c>
      <c r="E11" s="17" t="s">
        <v>213</v>
      </c>
      <c r="F11" s="17" t="s">
        <v>205</v>
      </c>
      <c r="G11" s="17" t="s">
        <v>206</v>
      </c>
      <c r="H11" s="17" t="s">
        <v>207</v>
      </c>
      <c r="I11" s="17" t="s">
        <v>210</v>
      </c>
      <c r="J11" s="17" t="s">
        <v>211</v>
      </c>
      <c r="K11" s="17" t="s">
        <v>212</v>
      </c>
      <c r="L11" s="17" t="s">
        <v>208</v>
      </c>
      <c r="M11" s="17" t="s">
        <v>209</v>
      </c>
      <c r="N11" s="1">
        <v>44234</v>
      </c>
      <c r="O11" t="s">
        <v>202</v>
      </c>
      <c r="P11" t="s">
        <v>179</v>
      </c>
      <c r="Q11" s="1">
        <v>44234</v>
      </c>
      <c r="R11" t="s">
        <v>179</v>
      </c>
    </row>
    <row r="12" spans="1:27" x14ac:dyDescent="0.25">
      <c r="A12" t="s">
        <v>2</v>
      </c>
      <c r="B12">
        <v>45</v>
      </c>
      <c r="D12" s="1">
        <v>43831</v>
      </c>
      <c r="E12" s="17" t="s">
        <v>221</v>
      </c>
      <c r="F12" s="17" t="s">
        <v>206</v>
      </c>
      <c r="G12" s="17" t="s">
        <v>211</v>
      </c>
      <c r="H12" s="17" t="s">
        <v>212</v>
      </c>
      <c r="I12" s="17" t="s">
        <v>207</v>
      </c>
      <c r="J12" s="17" t="s">
        <v>208</v>
      </c>
      <c r="K12" s="17" t="s">
        <v>209</v>
      </c>
      <c r="L12" s="17">
        <v>11</v>
      </c>
      <c r="M12" s="17" t="s">
        <v>220</v>
      </c>
      <c r="N12" s="1">
        <v>44234</v>
      </c>
      <c r="O12" t="s">
        <v>202</v>
      </c>
      <c r="P12" t="s">
        <v>179</v>
      </c>
      <c r="Q12" s="1">
        <v>44234</v>
      </c>
      <c r="R12" t="s">
        <v>179</v>
      </c>
    </row>
    <row r="13" spans="1:27" x14ac:dyDescent="0.25">
      <c r="A13" t="s">
        <v>2</v>
      </c>
      <c r="B13">
        <v>45</v>
      </c>
      <c r="D13" s="1">
        <v>43831</v>
      </c>
      <c r="E13" s="40">
        <v>2</v>
      </c>
      <c r="F13" s="40">
        <v>50</v>
      </c>
      <c r="G13" s="40">
        <v>32</v>
      </c>
      <c r="H13" s="40">
        <v>14</v>
      </c>
      <c r="I13" s="40">
        <v>30</v>
      </c>
      <c r="J13" s="40">
        <v>1</v>
      </c>
      <c r="K13" s="40">
        <v>352.1</v>
      </c>
      <c r="L13" s="40">
        <v>11</v>
      </c>
      <c r="M13" s="40">
        <v>462.1</v>
      </c>
      <c r="N13" s="1">
        <v>44234</v>
      </c>
      <c r="O13" t="s">
        <v>202</v>
      </c>
      <c r="P13" t="s">
        <v>179</v>
      </c>
      <c r="Q13" s="1">
        <v>44234</v>
      </c>
      <c r="R13" t="s">
        <v>179</v>
      </c>
    </row>
    <row r="14" spans="1:27" x14ac:dyDescent="0.25">
      <c r="D14" s="1"/>
      <c r="N14" s="1"/>
      <c r="Q14" s="1"/>
      <c r="R14" s="1"/>
    </row>
    <row r="15" spans="1:27" x14ac:dyDescent="0.25">
      <c r="D15" s="1"/>
      <c r="N15" s="1"/>
      <c r="Q15" s="1"/>
      <c r="R15" s="1"/>
    </row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spans="5:13" x14ac:dyDescent="0.25">
      <c r="E113"/>
      <c r="F113"/>
      <c r="G113"/>
      <c r="H113"/>
      <c r="I113"/>
      <c r="J113"/>
      <c r="K113"/>
      <c r="L113"/>
      <c r="M113"/>
    </row>
    <row r="114" spans="5:13" x14ac:dyDescent="0.25">
      <c r="E114"/>
      <c r="F114"/>
      <c r="G114"/>
      <c r="H114"/>
      <c r="I114"/>
      <c r="J114"/>
      <c r="K114"/>
      <c r="L114"/>
      <c r="M114"/>
    </row>
    <row r="115" spans="5:13" x14ac:dyDescent="0.25">
      <c r="E115"/>
      <c r="F115"/>
      <c r="G115"/>
      <c r="H115"/>
      <c r="I115"/>
      <c r="J115"/>
      <c r="K115"/>
      <c r="L115"/>
      <c r="M115"/>
    </row>
    <row r="116" spans="5:13" x14ac:dyDescent="0.25">
      <c r="E116"/>
      <c r="F116"/>
    </row>
    <row r="117" spans="5:13" x14ac:dyDescent="0.25">
      <c r="E117"/>
      <c r="F117"/>
    </row>
    <row r="118" spans="5:13" x14ac:dyDescent="0.25">
      <c r="E118"/>
      <c r="F118"/>
    </row>
    <row r="119" spans="5:13" x14ac:dyDescent="0.25">
      <c r="E119"/>
      <c r="F119"/>
    </row>
    <row r="120" spans="5:13" x14ac:dyDescent="0.25">
      <c r="E120"/>
      <c r="F120"/>
    </row>
    <row r="121" spans="5:13" x14ac:dyDescent="0.25">
      <c r="E121"/>
      <c r="F121"/>
    </row>
    <row r="122" spans="5:13" x14ac:dyDescent="0.25">
      <c r="E122"/>
      <c r="F122"/>
    </row>
    <row r="123" spans="5:13" x14ac:dyDescent="0.25">
      <c r="E123"/>
      <c r="F123"/>
    </row>
    <row r="124" spans="5:13" x14ac:dyDescent="0.25">
      <c r="E124"/>
      <c r="F124"/>
    </row>
    <row r="125" spans="5:13" x14ac:dyDescent="0.25">
      <c r="E125"/>
      <c r="F125"/>
    </row>
    <row r="126" spans="5:13" x14ac:dyDescent="0.25">
      <c r="E126"/>
      <c r="F126"/>
    </row>
    <row r="127" spans="5:13" x14ac:dyDescent="0.25">
      <c r="E127"/>
      <c r="F127"/>
    </row>
    <row r="128" spans="5:13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</sheetData>
  <mergeCells count="5">
    <mergeCell ref="A1:Q1"/>
    <mergeCell ref="B3:D3"/>
    <mergeCell ref="B4:D4"/>
    <mergeCell ref="B5:C5"/>
    <mergeCell ref="B6:C6"/>
  </mergeCells>
  <dataValidations count="2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3:D3" xr:uid="{E6E5D0D1-8C15-4B04-BF09-F71B3FE8E892}">
      <formula1>Perito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Z23"/>
  <sheetViews>
    <sheetView topLeftCell="F1" workbookViewId="0">
      <selection activeCell="K13" sqref="K13"/>
    </sheetView>
  </sheetViews>
  <sheetFormatPr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bestFit="1" customWidth="1"/>
    <col min="7" max="7" width="15.5703125" bestFit="1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7" bestFit="1" customWidth="1"/>
    <col min="13" max="13" width="9.85546875" bestFit="1" customWidth="1"/>
    <col min="14" max="14" width="12.5703125" bestFit="1" customWidth="1"/>
    <col min="15" max="15" width="16" style="17" bestFit="1" customWidth="1"/>
    <col min="16" max="16" width="13.42578125" style="17" bestFit="1" customWidth="1"/>
    <col min="17" max="17" width="16.42578125" style="17" bestFit="1" customWidth="1"/>
    <col min="18" max="18" width="22.42578125" style="17" bestFit="1" customWidth="1"/>
    <col min="19" max="19" width="23" style="17" bestFit="1" customWidth="1"/>
    <col min="20" max="20" width="15.28515625" style="17" bestFit="1" customWidth="1"/>
    <col min="21" max="21" width="14.28515625" style="17" bestFit="1" customWidth="1"/>
    <col min="22" max="22" width="22.140625" customWidth="1"/>
    <col min="23" max="23" width="14.140625" bestFit="1" customWidth="1"/>
    <col min="24" max="24" width="20.42578125" bestFit="1" customWidth="1"/>
    <col min="25" max="25" width="13.85546875" bestFit="1" customWidth="1"/>
    <col min="26" max="26" width="16.5703125" style="15" bestFit="1" customWidth="1"/>
  </cols>
  <sheetData>
    <row r="1" spans="1:26" s="5" customFormat="1" ht="30" customHeight="1" x14ac:dyDescent="0.25">
      <c r="A1" s="6" t="s">
        <v>157</v>
      </c>
      <c r="B1" s="4" t="s">
        <v>46</v>
      </c>
      <c r="C1" s="6" t="s">
        <v>47</v>
      </c>
      <c r="D1" s="6" t="s">
        <v>162</v>
      </c>
      <c r="E1" s="4" t="s">
        <v>48</v>
      </c>
      <c r="F1" s="4" t="s">
        <v>64</v>
      </c>
      <c r="G1" s="4" t="s">
        <v>49</v>
      </c>
      <c r="H1" s="4" t="s">
        <v>50</v>
      </c>
      <c r="I1" s="4" t="s">
        <v>51</v>
      </c>
      <c r="J1" s="4" t="s">
        <v>52</v>
      </c>
      <c r="K1" s="4" t="s">
        <v>53</v>
      </c>
      <c r="L1" s="16" t="s">
        <v>54</v>
      </c>
      <c r="M1" s="4" t="s">
        <v>55</v>
      </c>
      <c r="N1" s="16" t="s">
        <v>146</v>
      </c>
      <c r="O1" s="16" t="s">
        <v>56</v>
      </c>
      <c r="P1" s="16" t="s">
        <v>57</v>
      </c>
      <c r="Q1" s="16" t="s">
        <v>58</v>
      </c>
      <c r="R1" s="16" t="s">
        <v>177</v>
      </c>
      <c r="S1" s="16" t="s">
        <v>59</v>
      </c>
      <c r="T1" s="16" t="s">
        <v>60</v>
      </c>
      <c r="U1" s="16" t="s">
        <v>61</v>
      </c>
      <c r="V1" s="4" t="s">
        <v>158</v>
      </c>
      <c r="W1" s="4" t="s">
        <v>187</v>
      </c>
      <c r="X1" s="4" t="s">
        <v>45</v>
      </c>
      <c r="Y1" s="4" t="s">
        <v>159</v>
      </c>
      <c r="Z1" s="14" t="s">
        <v>171</v>
      </c>
    </row>
    <row r="2" spans="1:26" x14ac:dyDescent="0.25">
      <c r="A2" s="1">
        <v>43863</v>
      </c>
      <c r="B2">
        <v>100</v>
      </c>
      <c r="C2" s="1">
        <v>43831</v>
      </c>
      <c r="D2" s="1">
        <v>43863</v>
      </c>
      <c r="E2">
        <v>22</v>
      </c>
      <c r="F2">
        <v>45</v>
      </c>
      <c r="G2" t="s">
        <v>89</v>
      </c>
      <c r="H2" t="s">
        <v>30</v>
      </c>
      <c r="I2" t="s">
        <v>18</v>
      </c>
      <c r="J2" t="s">
        <v>155</v>
      </c>
      <c r="K2" t="s">
        <v>2</v>
      </c>
      <c r="L2" s="40">
        <v>2</v>
      </c>
      <c r="M2" t="s">
        <v>210</v>
      </c>
      <c r="N2" s="40">
        <v>50</v>
      </c>
      <c r="O2" s="40">
        <v>30</v>
      </c>
      <c r="P2" s="40">
        <v>32</v>
      </c>
      <c r="Q2" s="40">
        <v>14</v>
      </c>
      <c r="R2" s="40">
        <v>1</v>
      </c>
      <c r="S2" s="40">
        <v>352.1</v>
      </c>
      <c r="T2" s="40">
        <v>11</v>
      </c>
      <c r="U2" s="40">
        <v>462.1</v>
      </c>
      <c r="V2" t="s">
        <v>113</v>
      </c>
      <c r="W2" s="17" t="s">
        <v>179</v>
      </c>
      <c r="X2" s="17" t="s">
        <v>179</v>
      </c>
      <c r="Y2" t="s">
        <v>205</v>
      </c>
      <c r="Z2" s="15" t="s">
        <v>144</v>
      </c>
    </row>
    <row r="3" spans="1:26" x14ac:dyDescent="0.25">
      <c r="A3" s="1">
        <v>43863</v>
      </c>
      <c r="B3">
        <v>7</v>
      </c>
      <c r="C3" s="1">
        <v>43863</v>
      </c>
      <c r="D3" s="1">
        <v>43863</v>
      </c>
      <c r="E3">
        <v>23</v>
      </c>
      <c r="F3">
        <v>1</v>
      </c>
      <c r="G3">
        <v>22</v>
      </c>
      <c r="H3" t="s">
        <v>30</v>
      </c>
      <c r="I3" t="s">
        <v>18</v>
      </c>
      <c r="J3" t="s">
        <v>84</v>
      </c>
      <c r="K3" t="s">
        <v>63</v>
      </c>
      <c r="L3" s="17">
        <v>1</v>
      </c>
      <c r="M3">
        <v>2</v>
      </c>
      <c r="N3" s="17">
        <v>4</v>
      </c>
      <c r="O3" s="17">
        <v>5</v>
      </c>
      <c r="P3" s="17">
        <v>8</v>
      </c>
      <c r="Q3" s="17">
        <v>9</v>
      </c>
      <c r="R3" s="17">
        <v>6</v>
      </c>
      <c r="S3" s="17" t="s">
        <v>203</v>
      </c>
      <c r="T3" s="17">
        <v>6</v>
      </c>
      <c r="U3" s="17">
        <v>35</v>
      </c>
      <c r="V3" t="s">
        <v>113</v>
      </c>
      <c r="W3" s="17" t="s">
        <v>180</v>
      </c>
      <c r="X3" s="17" t="s">
        <v>180</v>
      </c>
      <c r="Y3">
        <v>3</v>
      </c>
      <c r="Z3" s="15" t="s">
        <v>144</v>
      </c>
    </row>
    <row r="4" spans="1:26" x14ac:dyDescent="0.25">
      <c r="A4" s="1">
        <v>43863</v>
      </c>
      <c r="C4" s="1">
        <v>43864</v>
      </c>
      <c r="D4" s="1">
        <v>43863</v>
      </c>
      <c r="E4">
        <v>24</v>
      </c>
      <c r="F4">
        <v>4</v>
      </c>
      <c r="G4">
        <v>22</v>
      </c>
      <c r="H4" t="s">
        <v>30</v>
      </c>
      <c r="I4" t="s">
        <v>18</v>
      </c>
      <c r="J4" t="s">
        <v>84</v>
      </c>
      <c r="K4" t="s">
        <v>63</v>
      </c>
      <c r="N4" s="17"/>
      <c r="V4" t="s">
        <v>110</v>
      </c>
      <c r="W4" s="17" t="s">
        <v>179</v>
      </c>
      <c r="X4" s="17" t="s">
        <v>179</v>
      </c>
      <c r="Y4" t="s">
        <v>103</v>
      </c>
      <c r="Z4" s="15" t="s">
        <v>144</v>
      </c>
    </row>
    <row r="5" spans="1:26" x14ac:dyDescent="0.25">
      <c r="A5" s="1">
        <v>43863</v>
      </c>
      <c r="C5" s="1">
        <v>44229</v>
      </c>
      <c r="D5" s="1">
        <v>43863</v>
      </c>
      <c r="E5">
        <v>25</v>
      </c>
      <c r="F5">
        <v>4</v>
      </c>
      <c r="G5" t="s">
        <v>88</v>
      </c>
      <c r="H5" t="s">
        <v>33</v>
      </c>
      <c r="I5" t="s">
        <v>18</v>
      </c>
      <c r="J5" t="s">
        <v>90</v>
      </c>
      <c r="K5" t="s">
        <v>2</v>
      </c>
      <c r="N5" s="17"/>
      <c r="V5" t="s">
        <v>113</v>
      </c>
      <c r="W5" s="17" t="s">
        <v>179</v>
      </c>
      <c r="X5" s="17" t="s">
        <v>179</v>
      </c>
      <c r="Y5" t="s">
        <v>103</v>
      </c>
      <c r="Z5" s="15" t="s">
        <v>144</v>
      </c>
    </row>
    <row r="6" spans="1:26" x14ac:dyDescent="0.25">
      <c r="A6" s="1">
        <v>43863</v>
      </c>
      <c r="C6" s="1">
        <v>43863</v>
      </c>
      <c r="D6" s="1">
        <v>43863</v>
      </c>
      <c r="E6">
        <v>26</v>
      </c>
      <c r="F6">
        <v>4</v>
      </c>
      <c r="G6">
        <v>22</v>
      </c>
      <c r="H6" t="s">
        <v>30</v>
      </c>
      <c r="I6" t="s">
        <v>18</v>
      </c>
      <c r="J6" t="s">
        <v>84</v>
      </c>
      <c r="K6" t="s">
        <v>63</v>
      </c>
      <c r="N6" s="17"/>
      <c r="V6" t="s">
        <v>113</v>
      </c>
      <c r="W6" s="17" t="s">
        <v>180</v>
      </c>
      <c r="X6" s="17" t="s">
        <v>180</v>
      </c>
      <c r="Z6" s="15" t="s">
        <v>144</v>
      </c>
    </row>
    <row r="7" spans="1:26" x14ac:dyDescent="0.25">
      <c r="A7" s="1">
        <v>43863</v>
      </c>
      <c r="C7" s="1">
        <v>43863</v>
      </c>
      <c r="D7" s="1">
        <v>43863</v>
      </c>
      <c r="E7">
        <v>27</v>
      </c>
      <c r="F7">
        <v>1</v>
      </c>
      <c r="G7">
        <v>22</v>
      </c>
      <c r="H7" t="s">
        <v>30</v>
      </c>
      <c r="I7" t="s">
        <v>18</v>
      </c>
      <c r="J7" t="s">
        <v>62</v>
      </c>
      <c r="K7" t="s">
        <v>63</v>
      </c>
      <c r="N7" s="17"/>
      <c r="V7" t="s">
        <v>110</v>
      </c>
      <c r="W7" s="17" t="s">
        <v>179</v>
      </c>
      <c r="X7" s="17" t="s">
        <v>179</v>
      </c>
      <c r="Z7" s="15" t="s">
        <v>144</v>
      </c>
    </row>
    <row r="8" spans="1:26" x14ac:dyDescent="0.25">
      <c r="A8" s="1">
        <v>43863</v>
      </c>
      <c r="C8" s="1">
        <v>43863</v>
      </c>
      <c r="D8" s="1">
        <v>43863</v>
      </c>
      <c r="E8" s="1">
        <v>44470</v>
      </c>
      <c r="F8">
        <v>2</v>
      </c>
      <c r="I8" t="s">
        <v>91</v>
      </c>
      <c r="J8" t="s">
        <v>30</v>
      </c>
      <c r="K8" t="s">
        <v>18</v>
      </c>
      <c r="N8" s="17"/>
      <c r="V8" t="s">
        <v>110</v>
      </c>
      <c r="W8" s="17" t="s">
        <v>180</v>
      </c>
      <c r="X8" s="17" t="s">
        <v>180</v>
      </c>
      <c r="Z8" s="15" t="s">
        <v>144</v>
      </c>
    </row>
    <row r="9" spans="1:26" x14ac:dyDescent="0.25">
      <c r="A9" s="1">
        <v>43863</v>
      </c>
      <c r="B9">
        <v>2</v>
      </c>
      <c r="C9" s="1">
        <v>43863</v>
      </c>
      <c r="D9" s="1">
        <v>43863</v>
      </c>
      <c r="E9">
        <v>5</v>
      </c>
      <c r="F9">
        <v>24</v>
      </c>
      <c r="G9">
        <v>6</v>
      </c>
      <c r="H9">
        <v>7</v>
      </c>
      <c r="I9">
        <v>8</v>
      </c>
      <c r="J9">
        <v>9</v>
      </c>
      <c r="K9">
        <v>10</v>
      </c>
      <c r="L9" s="17">
        <v>11</v>
      </c>
      <c r="M9">
        <v>12</v>
      </c>
      <c r="N9" s="17">
        <v>25</v>
      </c>
      <c r="O9" s="17">
        <v>13</v>
      </c>
      <c r="P9" s="17">
        <v>14</v>
      </c>
      <c r="Q9" s="17">
        <v>15</v>
      </c>
      <c r="R9" s="17">
        <v>16</v>
      </c>
      <c r="S9" s="17">
        <v>17</v>
      </c>
      <c r="T9" s="17">
        <v>18</v>
      </c>
      <c r="U9" s="17">
        <v>19</v>
      </c>
      <c r="V9">
        <v>20</v>
      </c>
      <c r="W9" s="17" t="s">
        <v>179</v>
      </c>
      <c r="X9" s="17" t="s">
        <v>179</v>
      </c>
      <c r="Y9">
        <v>22</v>
      </c>
      <c r="Z9" s="15" t="s">
        <v>144</v>
      </c>
    </row>
    <row r="10" spans="1:26" x14ac:dyDescent="0.25">
      <c r="A10" s="1">
        <v>43863</v>
      </c>
      <c r="C10" s="1">
        <v>43498</v>
      </c>
      <c r="D10" s="1">
        <v>43863</v>
      </c>
      <c r="E10">
        <v>123</v>
      </c>
      <c r="F10">
        <v>4</v>
      </c>
      <c r="G10" t="s">
        <v>140</v>
      </c>
      <c r="H10" t="s">
        <v>30</v>
      </c>
      <c r="I10" t="s">
        <v>18</v>
      </c>
      <c r="J10" t="s">
        <v>141</v>
      </c>
      <c r="K10" t="s">
        <v>99</v>
      </c>
      <c r="N10" s="17"/>
      <c r="V10" t="s">
        <v>112</v>
      </c>
      <c r="W10" s="17" t="s">
        <v>179</v>
      </c>
      <c r="X10" s="17" t="s">
        <v>179</v>
      </c>
      <c r="Y10" t="s">
        <v>103</v>
      </c>
      <c r="Z10" s="15" t="s">
        <v>144</v>
      </c>
    </row>
    <row r="11" spans="1:26" x14ac:dyDescent="0.25">
      <c r="A11" s="1">
        <v>43863</v>
      </c>
      <c r="C11" s="1">
        <v>43863</v>
      </c>
      <c r="D11" s="1">
        <v>43863</v>
      </c>
      <c r="E11">
        <v>123</v>
      </c>
      <c r="F11">
        <v>5</v>
      </c>
      <c r="G11" t="s">
        <v>142</v>
      </c>
      <c r="H11" t="s">
        <v>30</v>
      </c>
      <c r="I11" t="s">
        <v>18</v>
      </c>
      <c r="J11" t="s">
        <v>143</v>
      </c>
      <c r="K11" t="s">
        <v>99</v>
      </c>
      <c r="N11" s="17"/>
      <c r="V11" t="s">
        <v>113</v>
      </c>
      <c r="W11" s="17" t="s">
        <v>180</v>
      </c>
      <c r="X11" s="17" t="s">
        <v>180</v>
      </c>
      <c r="Y11" t="s">
        <v>103</v>
      </c>
      <c r="Z11" s="15" t="s">
        <v>144</v>
      </c>
    </row>
    <row r="12" spans="1:26" x14ac:dyDescent="0.25">
      <c r="A12" s="1">
        <v>43863</v>
      </c>
      <c r="C12" s="1">
        <v>43863</v>
      </c>
      <c r="D12" s="1">
        <v>43863</v>
      </c>
      <c r="E12">
        <v>123</v>
      </c>
      <c r="F12">
        <v>6</v>
      </c>
      <c r="G12" t="s">
        <v>142</v>
      </c>
      <c r="H12" t="s">
        <v>30</v>
      </c>
      <c r="I12" t="s">
        <v>18</v>
      </c>
      <c r="J12" t="s">
        <v>141</v>
      </c>
      <c r="K12" t="s">
        <v>99</v>
      </c>
      <c r="N12" s="17"/>
      <c r="V12" t="s">
        <v>113</v>
      </c>
      <c r="W12" s="17" t="s">
        <v>179</v>
      </c>
      <c r="X12" s="17" t="s">
        <v>179</v>
      </c>
      <c r="Y12" t="s">
        <v>103</v>
      </c>
      <c r="Z12" s="15" t="s">
        <v>144</v>
      </c>
    </row>
    <row r="13" spans="1:26" x14ac:dyDescent="0.25">
      <c r="A13" s="1">
        <v>43863</v>
      </c>
      <c r="C13" s="1">
        <v>43863</v>
      </c>
      <c r="D13" s="1">
        <v>43863</v>
      </c>
      <c r="E13">
        <v>12</v>
      </c>
      <c r="F13">
        <v>7</v>
      </c>
      <c r="G13" t="s">
        <v>140</v>
      </c>
      <c r="H13" t="s">
        <v>30</v>
      </c>
      <c r="I13" t="s">
        <v>18</v>
      </c>
      <c r="J13" t="s">
        <v>145</v>
      </c>
      <c r="K13" t="s">
        <v>91</v>
      </c>
      <c r="N13" s="17"/>
      <c r="V13" t="s">
        <v>110</v>
      </c>
      <c r="W13" s="17" t="s">
        <v>179</v>
      </c>
      <c r="X13" s="17" t="s">
        <v>179</v>
      </c>
      <c r="Y13" t="s">
        <v>103</v>
      </c>
      <c r="Z13" s="15" t="s">
        <v>144</v>
      </c>
    </row>
    <row r="14" spans="1:26" x14ac:dyDescent="0.25">
      <c r="A14" s="1">
        <v>43863</v>
      </c>
      <c r="C14" s="1">
        <v>43863</v>
      </c>
      <c r="D14" s="1">
        <v>43863</v>
      </c>
      <c r="E14">
        <v>1202</v>
      </c>
      <c r="F14">
        <v>121</v>
      </c>
      <c r="G14" t="s">
        <v>150</v>
      </c>
      <c r="H14" t="s">
        <v>30</v>
      </c>
      <c r="I14" t="s">
        <v>18</v>
      </c>
      <c r="J14" t="s">
        <v>109</v>
      </c>
      <c r="K14" t="s">
        <v>91</v>
      </c>
      <c r="N14" s="17"/>
      <c r="V14" t="s">
        <v>112</v>
      </c>
      <c r="W14" s="17" t="s">
        <v>179</v>
      </c>
      <c r="X14" s="17" t="s">
        <v>179</v>
      </c>
      <c r="Y14" t="s">
        <v>103</v>
      </c>
      <c r="Z14" s="15" t="s">
        <v>151</v>
      </c>
    </row>
    <row r="15" spans="1:26" x14ac:dyDescent="0.25">
      <c r="A15" s="1">
        <v>43863</v>
      </c>
      <c r="C15" s="1">
        <v>43863</v>
      </c>
      <c r="D15" s="1">
        <v>43863</v>
      </c>
      <c r="E15">
        <v>22</v>
      </c>
      <c r="F15">
        <v>45</v>
      </c>
      <c r="G15" t="s">
        <v>89</v>
      </c>
      <c r="H15" t="s">
        <v>30</v>
      </c>
      <c r="I15" t="s">
        <v>18</v>
      </c>
      <c r="J15" t="s">
        <v>86</v>
      </c>
      <c r="K15" t="s">
        <v>2</v>
      </c>
      <c r="N15" s="17"/>
      <c r="V15" t="s">
        <v>113</v>
      </c>
      <c r="W15" s="17" t="s">
        <v>179</v>
      </c>
      <c r="X15" s="17" t="s">
        <v>179</v>
      </c>
      <c r="Y15" t="s">
        <v>103</v>
      </c>
      <c r="Z15" s="15" t="s">
        <v>144</v>
      </c>
    </row>
    <row r="16" spans="1:26" x14ac:dyDescent="0.25">
      <c r="A16" s="1">
        <v>43863</v>
      </c>
      <c r="C16" s="1">
        <v>43863</v>
      </c>
      <c r="D16" s="1">
        <v>43863</v>
      </c>
      <c r="E16">
        <v>22</v>
      </c>
      <c r="F16">
        <v>45</v>
      </c>
      <c r="G16" t="s">
        <v>89</v>
      </c>
      <c r="H16" t="s">
        <v>30</v>
      </c>
      <c r="I16" t="s">
        <v>18</v>
      </c>
      <c r="J16" t="s">
        <v>86</v>
      </c>
      <c r="K16" t="s">
        <v>2</v>
      </c>
      <c r="N16" s="17"/>
      <c r="V16" t="s">
        <v>113</v>
      </c>
      <c r="W16" s="17" t="s">
        <v>179</v>
      </c>
      <c r="X16" s="17" t="s">
        <v>179</v>
      </c>
      <c r="Y16" t="s">
        <v>103</v>
      </c>
      <c r="Z16" s="15" t="s">
        <v>144</v>
      </c>
    </row>
    <row r="17" spans="1:26" x14ac:dyDescent="0.25">
      <c r="A17" s="1">
        <v>44197</v>
      </c>
      <c r="C17" s="1">
        <v>44197</v>
      </c>
      <c r="D17" s="1">
        <v>44197</v>
      </c>
      <c r="E17">
        <v>1021</v>
      </c>
      <c r="F17">
        <v>120121</v>
      </c>
      <c r="G17" t="s">
        <v>152</v>
      </c>
      <c r="H17" t="s">
        <v>33</v>
      </c>
      <c r="I17" t="s">
        <v>18</v>
      </c>
      <c r="J17" t="s">
        <v>109</v>
      </c>
      <c r="K17" t="s">
        <v>117</v>
      </c>
      <c r="N17" s="17"/>
      <c r="V17" t="s">
        <v>112</v>
      </c>
      <c r="W17" s="17" t="s">
        <v>179</v>
      </c>
      <c r="X17" s="17" t="s">
        <v>179</v>
      </c>
      <c r="Y17" t="s">
        <v>103</v>
      </c>
      <c r="Z17" s="15" t="s">
        <v>144</v>
      </c>
    </row>
    <row r="18" spans="1:26" x14ac:dyDescent="0.25">
      <c r="A18" s="1">
        <v>44197</v>
      </c>
      <c r="C18" s="1">
        <v>44197</v>
      </c>
      <c r="D18" s="1">
        <v>44197</v>
      </c>
      <c r="F18">
        <v>10021</v>
      </c>
      <c r="G18" t="s">
        <v>124</v>
      </c>
      <c r="H18" t="s">
        <v>30</v>
      </c>
      <c r="I18" t="s">
        <v>18</v>
      </c>
      <c r="J18" t="s">
        <v>156</v>
      </c>
      <c r="K18" t="s">
        <v>91</v>
      </c>
      <c r="N18" s="17"/>
      <c r="V18" t="s">
        <v>115</v>
      </c>
      <c r="W18" s="17" t="s">
        <v>179</v>
      </c>
      <c r="X18" s="17" t="s">
        <v>179</v>
      </c>
      <c r="Y18" t="s">
        <v>103</v>
      </c>
      <c r="Z18" s="15" t="s">
        <v>92</v>
      </c>
    </row>
    <row r="19" spans="1:26" x14ac:dyDescent="0.25">
      <c r="A19" s="1">
        <v>1</v>
      </c>
      <c r="B19">
        <v>2</v>
      </c>
      <c r="C19" s="1">
        <v>3</v>
      </c>
      <c r="D19" s="1">
        <v>4</v>
      </c>
      <c r="E19">
        <v>5</v>
      </c>
      <c r="F19">
        <v>6</v>
      </c>
      <c r="G19">
        <v>7</v>
      </c>
      <c r="H19">
        <v>8</v>
      </c>
      <c r="I19">
        <v>9</v>
      </c>
      <c r="J19">
        <v>10</v>
      </c>
      <c r="K19">
        <v>11</v>
      </c>
      <c r="L19">
        <v>12</v>
      </c>
      <c r="M19">
        <v>13</v>
      </c>
      <c r="N19">
        <v>14</v>
      </c>
      <c r="O19">
        <v>15</v>
      </c>
      <c r="P19">
        <v>16</v>
      </c>
      <c r="Q19">
        <v>17</v>
      </c>
      <c r="R19">
        <v>18</v>
      </c>
      <c r="S19">
        <v>19</v>
      </c>
      <c r="T19">
        <v>20</v>
      </c>
      <c r="U19">
        <v>21</v>
      </c>
      <c r="V19">
        <v>22</v>
      </c>
      <c r="W19">
        <v>23</v>
      </c>
      <c r="X19">
        <v>24</v>
      </c>
      <c r="Y19">
        <v>25</v>
      </c>
      <c r="Z19">
        <v>26</v>
      </c>
    </row>
    <row r="20" spans="1:26" x14ac:dyDescent="0.25">
      <c r="A20" s="1">
        <v>43984</v>
      </c>
      <c r="F20">
        <v>8</v>
      </c>
      <c r="G20" t="s">
        <v>189</v>
      </c>
      <c r="H20" t="s">
        <v>31</v>
      </c>
      <c r="I20" t="s">
        <v>18</v>
      </c>
      <c r="J20" t="s">
        <v>190</v>
      </c>
      <c r="K20" t="s">
        <v>116</v>
      </c>
      <c r="N20" s="17"/>
      <c r="T20" s="17" t="s">
        <v>115</v>
      </c>
      <c r="V20" t="s">
        <v>105</v>
      </c>
      <c r="W20" s="34">
        <v>44349</v>
      </c>
      <c r="X20">
        <v>987</v>
      </c>
    </row>
    <row r="21" spans="1:26" x14ac:dyDescent="0.25">
      <c r="A21" s="1">
        <v>44233</v>
      </c>
      <c r="B21">
        <v>2</v>
      </c>
      <c r="C21" s="1">
        <v>44379</v>
      </c>
      <c r="F21">
        <v>987</v>
      </c>
      <c r="G21">
        <v>987</v>
      </c>
      <c r="H21" t="s">
        <v>32</v>
      </c>
      <c r="I21" t="s">
        <v>18</v>
      </c>
      <c r="J21" t="s">
        <v>191</v>
      </c>
      <c r="K21" t="s">
        <v>116</v>
      </c>
      <c r="M21">
        <v>13</v>
      </c>
      <c r="N21" s="17" t="s">
        <v>214</v>
      </c>
      <c r="O21" s="17" t="s">
        <v>210</v>
      </c>
      <c r="R21" s="17" t="s">
        <v>215</v>
      </c>
      <c r="S21" s="17" t="s">
        <v>216</v>
      </c>
      <c r="T21" s="17" t="s">
        <v>217</v>
      </c>
      <c r="U21" s="17" t="s">
        <v>218</v>
      </c>
      <c r="V21" t="s">
        <v>111</v>
      </c>
      <c r="W21" s="17"/>
      <c r="Y21" t="s">
        <v>102</v>
      </c>
      <c r="Z21" s="15">
        <v>44233</v>
      </c>
    </row>
    <row r="22" spans="1:26" x14ac:dyDescent="0.25">
      <c r="A22" s="1">
        <v>44349</v>
      </c>
      <c r="B22">
        <v>1</v>
      </c>
      <c r="C22" s="1">
        <v>44234</v>
      </c>
      <c r="F22">
        <v>785</v>
      </c>
      <c r="G22" t="s">
        <v>192</v>
      </c>
      <c r="H22" t="s">
        <v>31</v>
      </c>
      <c r="I22" t="s">
        <v>18</v>
      </c>
      <c r="J22" t="s">
        <v>143</v>
      </c>
      <c r="K22" t="s">
        <v>116</v>
      </c>
      <c r="L22" s="40">
        <v>10</v>
      </c>
      <c r="M22">
        <v>1</v>
      </c>
      <c r="N22" s="40">
        <v>1</v>
      </c>
      <c r="O22" s="40">
        <v>1</v>
      </c>
      <c r="P22" s="40">
        <v>1</v>
      </c>
      <c r="Q22" s="40">
        <v>1</v>
      </c>
      <c r="R22" s="40">
        <v>1</v>
      </c>
      <c r="S22" s="40">
        <v>1</v>
      </c>
      <c r="T22" s="40">
        <v>1</v>
      </c>
      <c r="U22" s="40">
        <v>16</v>
      </c>
      <c r="V22" t="s">
        <v>110</v>
      </c>
      <c r="W22" s="17"/>
      <c r="Y22" t="s">
        <v>105</v>
      </c>
      <c r="Z22" s="15">
        <v>44349</v>
      </c>
    </row>
    <row r="23" spans="1:26" x14ac:dyDescent="0.25">
      <c r="A23" s="1">
        <v>44350</v>
      </c>
      <c r="F23">
        <v>457</v>
      </c>
      <c r="G23" t="s">
        <v>193</v>
      </c>
      <c r="H23" t="s">
        <v>30</v>
      </c>
      <c r="I23" t="s">
        <v>18</v>
      </c>
      <c r="J23" t="s">
        <v>194</v>
      </c>
      <c r="K23" t="s">
        <v>116</v>
      </c>
      <c r="N23" s="17"/>
      <c r="V23" t="s">
        <v>111</v>
      </c>
      <c r="W23" s="17" t="s">
        <v>179</v>
      </c>
      <c r="X23" t="s">
        <v>179</v>
      </c>
      <c r="Y23" t="s">
        <v>102</v>
      </c>
      <c r="Z23" s="15">
        <v>44349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D13"/>
  <sheetViews>
    <sheetView topLeftCell="O1" workbookViewId="0">
      <selection activeCell="G6" sqref="G6"/>
    </sheetView>
  </sheetViews>
  <sheetFormatPr defaultRowHeight="15" x14ac:dyDescent="0.25"/>
  <cols>
    <col min="1" max="3" width="21.7109375" style="15" customWidth="1"/>
    <col min="4" max="6" width="21.7109375" style="12" customWidth="1"/>
    <col min="7" max="7" width="21.7109375" style="10" customWidth="1"/>
    <col min="8" max="10" width="21.7109375" customWidth="1"/>
    <col min="11" max="11" width="21.7109375" style="13" customWidth="1"/>
    <col min="12" max="15" width="21.7109375" customWidth="1"/>
    <col min="16" max="17" width="21.7109375" style="10" customWidth="1"/>
    <col min="18" max="18" width="21.7109375" customWidth="1"/>
    <col min="19" max="19" width="21.7109375" style="17" customWidth="1"/>
    <col min="20" max="20" width="21.7109375" customWidth="1"/>
    <col min="21" max="21" width="21.7109375" style="17" customWidth="1"/>
    <col min="22" max="22" width="23.28515625" customWidth="1"/>
    <col min="23" max="27" width="21.7109375" style="17" customWidth="1"/>
    <col min="28" max="29" width="21.7109375" style="1" customWidth="1"/>
    <col min="30" max="30" width="12.28515625" bestFit="1" customWidth="1"/>
  </cols>
  <sheetData>
    <row r="1" spans="1:30" s="3" customFormat="1" ht="30" customHeight="1" x14ac:dyDescent="0.25">
      <c r="A1" s="14" t="s">
        <v>157</v>
      </c>
      <c r="B1" s="14" t="s">
        <v>160</v>
      </c>
      <c r="C1" s="14" t="s">
        <v>161</v>
      </c>
      <c r="D1" s="11" t="s">
        <v>46</v>
      </c>
      <c r="E1" s="11" t="s">
        <v>64</v>
      </c>
      <c r="F1" s="11" t="s">
        <v>65</v>
      </c>
      <c r="G1" s="9" t="s">
        <v>66</v>
      </c>
      <c r="H1" s="2" t="s">
        <v>49</v>
      </c>
      <c r="I1" s="2" t="s">
        <v>67</v>
      </c>
      <c r="J1" s="2" t="s">
        <v>50</v>
      </c>
      <c r="K1" s="2" t="s">
        <v>51</v>
      </c>
      <c r="L1" s="2" t="s">
        <v>68</v>
      </c>
      <c r="M1" s="2" t="s">
        <v>69</v>
      </c>
      <c r="N1" s="2" t="s">
        <v>53</v>
      </c>
      <c r="O1" s="2" t="s">
        <v>70</v>
      </c>
      <c r="P1" s="9" t="s">
        <v>71</v>
      </c>
      <c r="Q1" s="9" t="s">
        <v>72</v>
      </c>
      <c r="R1" s="2" t="s">
        <v>158</v>
      </c>
      <c r="S1" s="16" t="s">
        <v>73</v>
      </c>
      <c r="T1" s="2" t="s">
        <v>74</v>
      </c>
      <c r="U1" s="16" t="s">
        <v>75</v>
      </c>
      <c r="V1" s="2" t="s">
        <v>76</v>
      </c>
      <c r="W1" s="16" t="s">
        <v>77</v>
      </c>
      <c r="X1" s="16" t="s">
        <v>78</v>
      </c>
      <c r="Y1" s="16" t="s">
        <v>79</v>
      </c>
      <c r="Z1" s="16" t="s">
        <v>80</v>
      </c>
      <c r="AA1" s="16" t="s">
        <v>81</v>
      </c>
      <c r="AB1" s="6" t="s">
        <v>170</v>
      </c>
      <c r="AC1" s="2" t="s">
        <v>195</v>
      </c>
      <c r="AD1" s="2" t="s">
        <v>196</v>
      </c>
    </row>
    <row r="2" spans="1:30" x14ac:dyDescent="0.25">
      <c r="A2" s="15">
        <v>44197</v>
      </c>
      <c r="B2" s="15">
        <v>44197</v>
      </c>
      <c r="C2" s="15" t="s">
        <v>92</v>
      </c>
      <c r="E2" s="12">
        <v>1</v>
      </c>
      <c r="F2" s="12">
        <v>251</v>
      </c>
      <c r="H2" t="s">
        <v>106</v>
      </c>
      <c r="I2" t="s">
        <v>108</v>
      </c>
      <c r="J2" t="s">
        <v>32</v>
      </c>
      <c r="K2" s="13" t="s">
        <v>4</v>
      </c>
      <c r="M2" t="s">
        <v>83</v>
      </c>
      <c r="N2" t="s">
        <v>82</v>
      </c>
      <c r="P2" s="10">
        <v>58</v>
      </c>
      <c r="R2" t="s">
        <v>110</v>
      </c>
      <c r="AB2" s="1">
        <v>44124</v>
      </c>
      <c r="AC2" s="17" t="s">
        <v>179</v>
      </c>
      <c r="AD2" s="17" t="s">
        <v>179</v>
      </c>
    </row>
    <row r="3" spans="1:30" x14ac:dyDescent="0.25">
      <c r="A3" s="15">
        <v>44197</v>
      </c>
      <c r="B3" s="15" t="s">
        <v>92</v>
      </c>
      <c r="C3" s="15" t="s">
        <v>92</v>
      </c>
      <c r="D3" s="12">
        <v>2</v>
      </c>
      <c r="E3" s="12">
        <v>2</v>
      </c>
      <c r="F3" s="12">
        <v>6558</v>
      </c>
      <c r="H3" t="s">
        <v>107</v>
      </c>
      <c r="I3" t="s">
        <v>109</v>
      </c>
      <c r="J3" t="s">
        <v>33</v>
      </c>
      <c r="K3" s="13" t="s">
        <v>3</v>
      </c>
      <c r="M3" t="s">
        <v>87</v>
      </c>
      <c r="N3" t="s">
        <v>1</v>
      </c>
      <c r="P3" s="10">
        <v>10</v>
      </c>
      <c r="R3" t="s">
        <v>111</v>
      </c>
      <c r="AB3" s="1">
        <v>44124</v>
      </c>
      <c r="AC3" s="17" t="s">
        <v>180</v>
      </c>
      <c r="AD3" s="17" t="s">
        <v>180</v>
      </c>
    </row>
    <row r="4" spans="1:30" x14ac:dyDescent="0.25">
      <c r="A4" s="15">
        <v>44197</v>
      </c>
      <c r="B4" s="15" t="s">
        <v>139</v>
      </c>
      <c r="C4" s="15" t="s">
        <v>92</v>
      </c>
      <c r="E4" s="12">
        <v>3</v>
      </c>
      <c r="F4" s="12">
        <v>500</v>
      </c>
      <c r="G4" s="10">
        <v>250</v>
      </c>
      <c r="H4" t="s">
        <v>85</v>
      </c>
      <c r="I4" t="s">
        <v>86</v>
      </c>
      <c r="J4" t="s">
        <v>30</v>
      </c>
      <c r="K4" s="13" t="s">
        <v>18</v>
      </c>
      <c r="M4" t="s">
        <v>93</v>
      </c>
      <c r="N4" t="s">
        <v>2</v>
      </c>
      <c r="O4" t="s">
        <v>118</v>
      </c>
      <c r="P4" s="10">
        <v>50</v>
      </c>
      <c r="Q4" s="10">
        <v>50</v>
      </c>
      <c r="R4" t="s">
        <v>112</v>
      </c>
      <c r="T4">
        <v>100</v>
      </c>
      <c r="U4" s="17">
        <v>130</v>
      </c>
      <c r="X4" s="17">
        <v>50</v>
      </c>
      <c r="Y4" s="17">
        <v>20</v>
      </c>
      <c r="AB4" s="1">
        <v>44124</v>
      </c>
      <c r="AC4" s="17" t="s">
        <v>179</v>
      </c>
      <c r="AD4" s="17" t="s">
        <v>179</v>
      </c>
    </row>
    <row r="5" spans="1:30" x14ac:dyDescent="0.25">
      <c r="A5" s="15">
        <v>43863</v>
      </c>
      <c r="B5" s="15">
        <v>44229</v>
      </c>
      <c r="C5" s="15" t="s">
        <v>92</v>
      </c>
      <c r="D5" s="12">
        <v>4</v>
      </c>
      <c r="E5" s="12">
        <v>4</v>
      </c>
      <c r="F5" s="12">
        <v>400</v>
      </c>
      <c r="H5" t="s">
        <v>94</v>
      </c>
      <c r="J5" t="s">
        <v>33</v>
      </c>
      <c r="K5" s="13" t="s">
        <v>18</v>
      </c>
      <c r="M5" t="s">
        <v>95</v>
      </c>
      <c r="N5" t="s">
        <v>2</v>
      </c>
      <c r="P5" s="10">
        <v>411</v>
      </c>
      <c r="R5" t="s">
        <v>113</v>
      </c>
      <c r="AB5" s="1">
        <v>44124</v>
      </c>
      <c r="AC5" s="17" t="s">
        <v>179</v>
      </c>
      <c r="AD5" s="17" t="s">
        <v>179</v>
      </c>
    </row>
    <row r="6" spans="1:30" x14ac:dyDescent="0.25">
      <c r="A6" s="15">
        <v>44197</v>
      </c>
      <c r="B6" s="15">
        <v>2</v>
      </c>
      <c r="C6" s="15">
        <v>3</v>
      </c>
      <c r="D6" s="12">
        <v>4</v>
      </c>
      <c r="E6" s="12">
        <v>5</v>
      </c>
      <c r="F6" s="12">
        <v>6</v>
      </c>
      <c r="G6" s="10">
        <v>7</v>
      </c>
      <c r="H6">
        <v>8</v>
      </c>
      <c r="I6">
        <v>9</v>
      </c>
      <c r="J6">
        <v>10</v>
      </c>
      <c r="K6" s="13">
        <v>11</v>
      </c>
      <c r="L6">
        <v>12</v>
      </c>
      <c r="M6">
        <v>13</v>
      </c>
      <c r="N6">
        <v>14</v>
      </c>
      <c r="O6">
        <v>15</v>
      </c>
      <c r="P6" s="10">
        <v>16</v>
      </c>
      <c r="Q6" s="10">
        <v>17</v>
      </c>
      <c r="R6">
        <v>18</v>
      </c>
      <c r="S6" s="17">
        <v>19</v>
      </c>
      <c r="T6">
        <v>20</v>
      </c>
      <c r="U6" s="17">
        <v>21</v>
      </c>
      <c r="V6">
        <v>22</v>
      </c>
      <c r="W6" s="17">
        <v>23</v>
      </c>
      <c r="X6" s="17">
        <v>24</v>
      </c>
      <c r="Y6" s="17">
        <v>25</v>
      </c>
      <c r="Z6" s="17">
        <v>26</v>
      </c>
      <c r="AA6" s="17">
        <v>27</v>
      </c>
      <c r="AB6" s="1">
        <v>44124</v>
      </c>
      <c r="AC6" s="17" t="s">
        <v>180</v>
      </c>
      <c r="AD6" s="17" t="s">
        <v>180</v>
      </c>
    </row>
    <row r="7" spans="1:30" x14ac:dyDescent="0.25">
      <c r="A7" s="15">
        <v>44197</v>
      </c>
      <c r="B7" s="15">
        <v>44197</v>
      </c>
      <c r="C7" s="15">
        <v>650</v>
      </c>
      <c r="E7" s="12">
        <v>6</v>
      </c>
      <c r="F7" s="12">
        <v>525</v>
      </c>
      <c r="H7" t="s">
        <v>123</v>
      </c>
      <c r="J7" t="s">
        <v>31</v>
      </c>
      <c r="K7" s="13" t="s">
        <v>18</v>
      </c>
      <c r="M7" t="s">
        <v>95</v>
      </c>
      <c r="N7" t="s">
        <v>91</v>
      </c>
      <c r="P7" s="10">
        <v>45</v>
      </c>
      <c r="R7" t="s">
        <v>113</v>
      </c>
      <c r="AB7" s="1">
        <v>44124</v>
      </c>
      <c r="AC7" s="17" t="s">
        <v>179</v>
      </c>
      <c r="AD7" s="17" t="s">
        <v>179</v>
      </c>
    </row>
    <row r="8" spans="1:30" x14ac:dyDescent="0.25">
      <c r="A8" s="15">
        <v>44197</v>
      </c>
      <c r="B8" s="15" t="s">
        <v>134</v>
      </c>
      <c r="C8" s="15">
        <v>55</v>
      </c>
      <c r="D8" s="12">
        <v>12</v>
      </c>
      <c r="E8" s="12">
        <v>7</v>
      </c>
      <c r="F8" s="12">
        <v>2215</v>
      </c>
      <c r="H8" t="s">
        <v>124</v>
      </c>
      <c r="I8" t="s">
        <v>2</v>
      </c>
      <c r="J8" t="s">
        <v>30</v>
      </c>
      <c r="K8" s="13" t="s">
        <v>18</v>
      </c>
      <c r="M8" t="s">
        <v>125</v>
      </c>
      <c r="N8" t="s">
        <v>91</v>
      </c>
      <c r="O8" t="s">
        <v>119</v>
      </c>
      <c r="P8" s="10">
        <v>100</v>
      </c>
      <c r="Q8" s="10">
        <v>100</v>
      </c>
      <c r="R8" t="s">
        <v>113</v>
      </c>
      <c r="T8">
        <v>100</v>
      </c>
      <c r="U8" s="17">
        <v>100</v>
      </c>
      <c r="V8">
        <v>10</v>
      </c>
      <c r="W8" s="17">
        <v>11</v>
      </c>
      <c r="X8" s="17">
        <v>50</v>
      </c>
      <c r="Y8" s="17">
        <v>50</v>
      </c>
      <c r="Z8" s="17">
        <v>10</v>
      </c>
      <c r="AB8" s="1">
        <v>44124</v>
      </c>
      <c r="AC8" s="17" t="s">
        <v>180</v>
      </c>
      <c r="AD8" s="17" t="s">
        <v>180</v>
      </c>
    </row>
    <row r="9" spans="1:30" x14ac:dyDescent="0.25">
      <c r="A9" s="15">
        <v>44197</v>
      </c>
      <c r="B9" s="15" t="s">
        <v>134</v>
      </c>
      <c r="C9" s="15">
        <v>44197</v>
      </c>
      <c r="D9" s="12">
        <v>18</v>
      </c>
      <c r="E9" s="12">
        <v>8</v>
      </c>
      <c r="F9" s="12">
        <v>45852</v>
      </c>
      <c r="H9" t="s">
        <v>126</v>
      </c>
      <c r="I9" t="s">
        <v>2</v>
      </c>
      <c r="J9" t="s">
        <v>30</v>
      </c>
      <c r="K9" s="13" t="s">
        <v>18</v>
      </c>
      <c r="M9" t="s">
        <v>127</v>
      </c>
      <c r="N9" t="s">
        <v>91</v>
      </c>
      <c r="O9" t="s">
        <v>118</v>
      </c>
      <c r="P9" s="10">
        <v>10</v>
      </c>
      <c r="Q9" s="10">
        <v>10</v>
      </c>
      <c r="R9" t="s">
        <v>110</v>
      </c>
      <c r="T9">
        <v>11</v>
      </c>
      <c r="U9" s="17">
        <v>12</v>
      </c>
      <c r="V9">
        <v>16</v>
      </c>
      <c r="W9" s="17">
        <v>17</v>
      </c>
      <c r="X9" s="17">
        <v>13</v>
      </c>
      <c r="Y9" s="17">
        <v>14</v>
      </c>
      <c r="Z9" s="17">
        <v>15</v>
      </c>
      <c r="AB9" s="1">
        <v>44124</v>
      </c>
      <c r="AC9" s="17" t="s">
        <v>179</v>
      </c>
      <c r="AD9" s="17" t="s">
        <v>179</v>
      </c>
    </row>
    <row r="10" spans="1:30" x14ac:dyDescent="0.25">
      <c r="A10" s="15">
        <v>44228</v>
      </c>
      <c r="B10" s="15">
        <v>44197</v>
      </c>
      <c r="C10" s="15">
        <v>44197</v>
      </c>
      <c r="E10" s="12">
        <v>9</v>
      </c>
      <c r="F10" s="12">
        <v>125</v>
      </c>
      <c r="G10" s="10">
        <v>125</v>
      </c>
      <c r="H10" t="s">
        <v>129</v>
      </c>
      <c r="I10" t="s">
        <v>128</v>
      </c>
      <c r="J10" t="s">
        <v>30</v>
      </c>
      <c r="K10" s="13" t="s">
        <v>18</v>
      </c>
      <c r="M10" t="s">
        <v>93</v>
      </c>
      <c r="N10" t="s">
        <v>91</v>
      </c>
      <c r="P10" s="10">
        <v>15</v>
      </c>
      <c r="R10" t="s">
        <v>115</v>
      </c>
      <c r="AB10" s="1">
        <v>44124</v>
      </c>
      <c r="AC10" s="17" t="s">
        <v>179</v>
      </c>
      <c r="AD10" s="17" t="s">
        <v>179</v>
      </c>
    </row>
    <row r="11" spans="1:30" x14ac:dyDescent="0.25">
      <c r="A11" s="15">
        <v>44197</v>
      </c>
      <c r="B11" s="15">
        <v>44197</v>
      </c>
      <c r="C11" s="15" t="s">
        <v>92</v>
      </c>
      <c r="E11" s="12">
        <v>10</v>
      </c>
      <c r="F11" s="12">
        <v>158</v>
      </c>
      <c r="G11" s="10">
        <v>123</v>
      </c>
      <c r="H11" t="s">
        <v>133</v>
      </c>
      <c r="I11" t="s">
        <v>132</v>
      </c>
      <c r="J11" t="s">
        <v>30</v>
      </c>
      <c r="K11" s="13" t="s">
        <v>18</v>
      </c>
      <c r="M11" t="s">
        <v>93</v>
      </c>
      <c r="N11" t="s">
        <v>91</v>
      </c>
      <c r="P11" s="10">
        <v>10</v>
      </c>
      <c r="R11" t="s">
        <v>114</v>
      </c>
      <c r="AB11" s="1">
        <v>44124</v>
      </c>
      <c r="AC11" s="17" t="s">
        <v>180</v>
      </c>
      <c r="AD11" s="17" t="s">
        <v>180</v>
      </c>
    </row>
    <row r="12" spans="1:30" x14ac:dyDescent="0.25">
      <c r="A12" s="15">
        <v>44197</v>
      </c>
      <c r="B12" s="15">
        <v>44197</v>
      </c>
      <c r="C12" s="15">
        <v>44229</v>
      </c>
      <c r="E12" s="12">
        <v>1525</v>
      </c>
      <c r="F12" s="12">
        <v>1225</v>
      </c>
      <c r="G12" s="10">
        <v>1232</v>
      </c>
      <c r="H12" t="s">
        <v>173</v>
      </c>
      <c r="I12" t="s">
        <v>172</v>
      </c>
      <c r="J12" t="s">
        <v>30</v>
      </c>
      <c r="K12" s="13" t="s">
        <v>18</v>
      </c>
      <c r="M12" t="s">
        <v>153</v>
      </c>
      <c r="N12" t="s">
        <v>91</v>
      </c>
      <c r="O12" t="s">
        <v>121</v>
      </c>
      <c r="P12" s="10">
        <v>50</v>
      </c>
      <c r="R12" t="s">
        <v>111</v>
      </c>
      <c r="S12" s="17">
        <v>150</v>
      </c>
      <c r="T12">
        <v>150</v>
      </c>
      <c r="U12" s="17">
        <v>150</v>
      </c>
      <c r="V12">
        <v>150</v>
      </c>
      <c r="W12" s="17">
        <v>150</v>
      </c>
      <c r="X12" s="17">
        <v>150</v>
      </c>
      <c r="Y12" s="17">
        <v>150</v>
      </c>
      <c r="Z12" s="17">
        <v>150</v>
      </c>
      <c r="AA12" s="17">
        <v>150</v>
      </c>
      <c r="AB12" s="1">
        <v>44124</v>
      </c>
      <c r="AC12" s="17" t="s">
        <v>179</v>
      </c>
      <c r="AD12" s="17" t="s">
        <v>179</v>
      </c>
    </row>
    <row r="13" spans="1:30" x14ac:dyDescent="0.25">
      <c r="A13" s="15">
        <v>44197</v>
      </c>
      <c r="B13" s="15">
        <v>44226</v>
      </c>
      <c r="C13" s="15" t="s">
        <v>174</v>
      </c>
      <c r="E13" s="12">
        <v>122</v>
      </c>
      <c r="F13" s="12">
        <v>122</v>
      </c>
      <c r="G13" s="10">
        <v>122</v>
      </c>
      <c r="H13" t="s">
        <v>175</v>
      </c>
      <c r="I13" t="s">
        <v>2</v>
      </c>
      <c r="J13" t="s">
        <v>30</v>
      </c>
      <c r="K13" s="13" t="s">
        <v>18</v>
      </c>
      <c r="M13" t="s">
        <v>153</v>
      </c>
      <c r="N13" t="s">
        <v>99</v>
      </c>
      <c r="O13" t="s">
        <v>121</v>
      </c>
      <c r="P13" s="10" t="s">
        <v>176</v>
      </c>
      <c r="R13" t="s">
        <v>112</v>
      </c>
      <c r="AB13" s="1">
        <v>44124</v>
      </c>
      <c r="AC13" s="17" t="s">
        <v>179</v>
      </c>
      <c r="AD13" s="17" t="s">
        <v>179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7CFED-AA1F-4B05-BD95-C90421EF124D}">
  <sheetPr codeName="Planilha13">
    <pageSetUpPr fitToPage="1"/>
  </sheetPr>
  <dimension ref="A1:AD12"/>
  <sheetViews>
    <sheetView showGridLines="0" topLeftCell="B1" workbookViewId="0">
      <selection activeCell="E2" sqref="E2"/>
    </sheetView>
  </sheetViews>
  <sheetFormatPr defaultRowHeight="15" x14ac:dyDescent="0.25"/>
  <cols>
    <col min="1" max="1" width="13.28515625" hidden="1" customWidth="1"/>
    <col min="2" max="2" width="12.28515625" customWidth="1"/>
    <col min="3" max="4" width="12.28515625" hidden="1" customWidth="1"/>
    <col min="5" max="8" width="12.28515625" customWidth="1"/>
    <col min="9" max="9" width="12.28515625" hidden="1" customWidth="1"/>
    <col min="10" max="10" width="12.28515625" customWidth="1"/>
    <col min="11" max="11" width="4.7109375" customWidth="1"/>
    <col min="12" max="12" width="11.7109375" hidden="1" customWidth="1"/>
    <col min="13" max="13" width="12.28515625" customWidth="1"/>
    <col min="14" max="14" width="12.28515625" hidden="1" customWidth="1"/>
    <col min="15" max="15" width="12.28515625" customWidth="1"/>
    <col min="16" max="18" width="12.28515625" hidden="1" customWidth="1"/>
    <col min="19" max="19" width="17.28515625" bestFit="1" customWidth="1"/>
    <col min="20" max="20" width="19.28515625" hidden="1" customWidth="1"/>
    <col min="21" max="21" width="14.5703125" bestFit="1" customWidth="1"/>
    <col min="22" max="22" width="21.5703125" hidden="1" customWidth="1"/>
    <col min="23" max="23" width="13.7109375" hidden="1" customWidth="1"/>
    <col min="24" max="24" width="10.140625" bestFit="1" customWidth="1"/>
    <col min="25" max="25" width="11" bestFit="1" customWidth="1"/>
    <col min="26" max="26" width="10.28515625" bestFit="1" customWidth="1"/>
    <col min="27" max="27" width="10.140625" bestFit="1" customWidth="1"/>
    <col min="28" max="28" width="17" hidden="1" customWidth="1"/>
    <col min="29" max="29" width="8" hidden="1" customWidth="1"/>
    <col min="30" max="30" width="6.7109375" hidden="1" customWidth="1"/>
  </cols>
  <sheetData>
    <row r="1" spans="1:30" ht="36" customHeight="1" thickBot="1" x14ac:dyDescent="0.4">
      <c r="A1" s="63" t="s">
        <v>185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</row>
    <row r="2" spans="1:30" x14ac:dyDescent="0.25">
      <c r="B2" t="s">
        <v>182</v>
      </c>
      <c r="E2" s="28">
        <v>43831</v>
      </c>
      <c r="F2" s="26" t="s">
        <v>181</v>
      </c>
      <c r="G2" s="28">
        <v>44227</v>
      </c>
      <c r="H2" s="29"/>
      <c r="I2" s="29"/>
      <c r="J2" s="35" t="s">
        <v>160</v>
      </c>
      <c r="K2" s="35" t="s">
        <v>160</v>
      </c>
      <c r="L2" s="36" t="s">
        <v>53</v>
      </c>
      <c r="M2" s="36" t="s">
        <v>158</v>
      </c>
      <c r="N2" s="36" t="s">
        <v>196</v>
      </c>
      <c r="O2" s="37"/>
      <c r="P2" s="37"/>
      <c r="Q2" s="37"/>
      <c r="R2" s="37"/>
      <c r="S2" s="37"/>
      <c r="T2" s="29"/>
      <c r="U2" s="29"/>
      <c r="V2" s="29"/>
      <c r="W2" s="29"/>
      <c r="X2" s="29"/>
      <c r="Y2" s="29"/>
      <c r="Z2" s="29"/>
      <c r="AA2" s="29"/>
    </row>
    <row r="3" spans="1:30" x14ac:dyDescent="0.25">
      <c r="B3" s="27" t="s">
        <v>183</v>
      </c>
      <c r="C3" s="62"/>
      <c r="D3" s="62"/>
      <c r="E3" s="62"/>
      <c r="F3" s="62"/>
      <c r="G3" s="62"/>
      <c r="H3" s="29"/>
      <c r="I3" s="29"/>
      <c r="J3" s="38" t="str">
        <f>"&gt;="&amp;IF($E$2="",0,$E$2)</f>
        <v>&gt;=43831</v>
      </c>
      <c r="K3" s="38" t="str">
        <f>"&lt;="&amp;IF($G$2="",99999,$G$2)</f>
        <v>&lt;=44227</v>
      </c>
      <c r="L3" s="38" t="str">
        <f>IF($C$3&lt;&gt;"",$C$3,"")</f>
        <v/>
      </c>
      <c r="M3" s="38" t="str">
        <f>IF($C$4&lt;&gt;"",$C$4,"")</f>
        <v/>
      </c>
      <c r="N3" s="37" t="str">
        <f>IF($C$5&lt;&gt;"",$C$5,"")</f>
        <v>Aberto</v>
      </c>
      <c r="O3" s="37"/>
      <c r="P3" s="37"/>
      <c r="Q3" s="37"/>
      <c r="R3" s="37"/>
      <c r="S3" s="37"/>
      <c r="T3" s="29"/>
      <c r="U3" s="29"/>
      <c r="V3" s="29"/>
      <c r="W3" s="29"/>
      <c r="X3" s="29"/>
      <c r="Y3" s="29"/>
      <c r="Z3" s="29"/>
      <c r="AA3" s="29"/>
    </row>
    <row r="4" spans="1:30" x14ac:dyDescent="0.25">
      <c r="B4" s="27" t="s">
        <v>184</v>
      </c>
      <c r="C4" s="62"/>
      <c r="D4" s="62"/>
      <c r="E4" s="62"/>
      <c r="F4" s="62"/>
      <c r="G4" s="62"/>
      <c r="H4" s="29"/>
      <c r="I4" s="29"/>
      <c r="J4" s="37"/>
      <c r="K4" s="37"/>
      <c r="L4" s="37"/>
      <c r="M4" s="37"/>
      <c r="N4" s="37"/>
      <c r="O4" s="37"/>
      <c r="P4" s="37"/>
      <c r="Q4" s="37"/>
      <c r="R4" s="37"/>
      <c r="S4" s="37"/>
      <c r="T4" s="29"/>
      <c r="U4" s="29"/>
      <c r="V4" s="29"/>
      <c r="W4" s="29"/>
      <c r="X4" s="29"/>
      <c r="Y4" s="29"/>
      <c r="Z4" s="29"/>
      <c r="AA4" s="29"/>
    </row>
    <row r="5" spans="1:30" x14ac:dyDescent="0.25">
      <c r="B5" s="31" t="s">
        <v>188</v>
      </c>
      <c r="C5" s="64" t="s">
        <v>179</v>
      </c>
      <c r="D5" s="64"/>
      <c r="E5" s="64"/>
      <c r="F5" s="64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30" x14ac:dyDescent="0.25">
      <c r="A6" s="21" t="s">
        <v>157</v>
      </c>
      <c r="B6" s="19" t="s">
        <v>160</v>
      </c>
      <c r="C6" s="19" t="s">
        <v>161</v>
      </c>
      <c r="D6" s="22" t="s">
        <v>46</v>
      </c>
      <c r="E6" s="22" t="s">
        <v>64</v>
      </c>
      <c r="F6" s="22" t="s">
        <v>65</v>
      </c>
      <c r="G6" s="23" t="s">
        <v>66</v>
      </c>
      <c r="H6" s="20" t="s">
        <v>49</v>
      </c>
      <c r="I6" s="20" t="s">
        <v>67</v>
      </c>
      <c r="J6" s="20" t="s">
        <v>50</v>
      </c>
      <c r="K6" s="20" t="s">
        <v>51</v>
      </c>
      <c r="L6" s="20" t="s">
        <v>68</v>
      </c>
      <c r="M6" s="20" t="s">
        <v>69</v>
      </c>
      <c r="N6" s="20" t="s">
        <v>53</v>
      </c>
      <c r="O6" s="20" t="s">
        <v>70</v>
      </c>
      <c r="P6" s="23" t="s">
        <v>71</v>
      </c>
      <c r="Q6" s="23" t="s">
        <v>72</v>
      </c>
      <c r="R6" s="20" t="s">
        <v>158</v>
      </c>
      <c r="S6" s="18" t="s">
        <v>73</v>
      </c>
      <c r="T6" s="20" t="s">
        <v>74</v>
      </c>
      <c r="U6" s="18" t="s">
        <v>75</v>
      </c>
      <c r="V6" s="20" t="s">
        <v>76</v>
      </c>
      <c r="W6" s="18" t="s">
        <v>77</v>
      </c>
      <c r="X6" s="18" t="s">
        <v>78</v>
      </c>
      <c r="Y6" s="18" t="s">
        <v>79</v>
      </c>
      <c r="Z6" s="18" t="s">
        <v>80</v>
      </c>
      <c r="AA6" s="18" t="s">
        <v>81</v>
      </c>
      <c r="AB6" s="24" t="s">
        <v>170</v>
      </c>
      <c r="AC6" s="20" t="s">
        <v>195</v>
      </c>
      <c r="AD6" s="25" t="s">
        <v>196</v>
      </c>
    </row>
    <row r="7" spans="1:30" x14ac:dyDescent="0.25">
      <c r="A7" s="15">
        <v>44197</v>
      </c>
      <c r="B7" s="15">
        <v>44197</v>
      </c>
      <c r="C7" s="15" t="s">
        <v>92</v>
      </c>
      <c r="D7" s="12"/>
      <c r="E7" s="12">
        <v>1</v>
      </c>
      <c r="F7" s="12">
        <v>251</v>
      </c>
      <c r="G7" s="10"/>
      <c r="H7" t="s">
        <v>106</v>
      </c>
      <c r="I7" t="s">
        <v>108</v>
      </c>
      <c r="J7" t="s">
        <v>32</v>
      </c>
      <c r="K7" s="13" t="s">
        <v>4</v>
      </c>
      <c r="M7" t="s">
        <v>83</v>
      </c>
      <c r="N7" t="s">
        <v>82</v>
      </c>
      <c r="P7" s="10">
        <v>58</v>
      </c>
      <c r="Q7" s="10"/>
      <c r="R7" t="s">
        <v>110</v>
      </c>
      <c r="S7" s="17"/>
      <c r="U7" s="17"/>
      <c r="W7" s="17"/>
      <c r="X7" s="17"/>
      <c r="Y7" s="17"/>
      <c r="Z7" s="17"/>
      <c r="AA7" s="17"/>
      <c r="AB7" s="1">
        <v>44124</v>
      </c>
      <c r="AC7" s="17" t="s">
        <v>179</v>
      </c>
      <c r="AD7" s="17" t="s">
        <v>179</v>
      </c>
    </row>
    <row r="8" spans="1:30" x14ac:dyDescent="0.25">
      <c r="A8" s="15">
        <v>44197</v>
      </c>
      <c r="B8" s="15">
        <v>44197</v>
      </c>
      <c r="C8" s="15">
        <v>650</v>
      </c>
      <c r="D8" s="12"/>
      <c r="E8" s="12">
        <v>6</v>
      </c>
      <c r="F8" s="12">
        <v>525</v>
      </c>
      <c r="G8" s="10"/>
      <c r="H8" t="s">
        <v>123</v>
      </c>
      <c r="J8" t="s">
        <v>31</v>
      </c>
      <c r="K8" s="13" t="s">
        <v>18</v>
      </c>
      <c r="M8" t="s">
        <v>95</v>
      </c>
      <c r="N8" t="s">
        <v>91</v>
      </c>
      <c r="P8" s="10">
        <v>45</v>
      </c>
      <c r="Q8" s="10"/>
      <c r="R8" t="s">
        <v>113</v>
      </c>
      <c r="S8" s="17"/>
      <c r="U8" s="17"/>
      <c r="W8" s="17"/>
      <c r="X8" s="17"/>
      <c r="Y8" s="17"/>
      <c r="Z8" s="17"/>
      <c r="AA8" s="17"/>
      <c r="AB8" s="1">
        <v>44124</v>
      </c>
      <c r="AC8" s="17" t="s">
        <v>179</v>
      </c>
      <c r="AD8" s="17" t="s">
        <v>179</v>
      </c>
    </row>
    <row r="9" spans="1:30" x14ac:dyDescent="0.25">
      <c r="A9" s="15">
        <v>44228</v>
      </c>
      <c r="B9" s="15">
        <v>44197</v>
      </c>
      <c r="C9" s="15">
        <v>44197</v>
      </c>
      <c r="D9" s="12"/>
      <c r="E9" s="12">
        <v>9</v>
      </c>
      <c r="F9" s="12">
        <v>125</v>
      </c>
      <c r="G9" s="10">
        <v>125</v>
      </c>
      <c r="H9" t="s">
        <v>129</v>
      </c>
      <c r="I9" t="s">
        <v>128</v>
      </c>
      <c r="J9" t="s">
        <v>30</v>
      </c>
      <c r="K9" s="13" t="s">
        <v>18</v>
      </c>
      <c r="M9" t="s">
        <v>93</v>
      </c>
      <c r="N9" t="s">
        <v>91</v>
      </c>
      <c r="P9" s="10">
        <v>15</v>
      </c>
      <c r="Q9" s="10"/>
      <c r="R9" t="s">
        <v>115</v>
      </c>
      <c r="S9" s="17"/>
      <c r="U9" s="17"/>
      <c r="W9" s="17"/>
      <c r="X9" s="17"/>
      <c r="Y9" s="17"/>
      <c r="Z9" s="17"/>
      <c r="AA9" s="17"/>
      <c r="AB9" s="1">
        <v>44124</v>
      </c>
      <c r="AC9" s="17" t="s">
        <v>179</v>
      </c>
      <c r="AD9" s="17" t="s">
        <v>179</v>
      </c>
    </row>
    <row r="10" spans="1:30" x14ac:dyDescent="0.25">
      <c r="A10" s="15">
        <v>44197</v>
      </c>
      <c r="B10" s="15">
        <v>44197</v>
      </c>
      <c r="C10" s="15">
        <v>44229</v>
      </c>
      <c r="D10" s="12"/>
      <c r="E10" s="12">
        <v>1525</v>
      </c>
      <c r="F10" s="12">
        <v>1225</v>
      </c>
      <c r="G10" s="10">
        <v>1232</v>
      </c>
      <c r="H10" t="s">
        <v>173</v>
      </c>
      <c r="I10" t="s">
        <v>172</v>
      </c>
      <c r="J10" t="s">
        <v>30</v>
      </c>
      <c r="K10" s="13" t="s">
        <v>18</v>
      </c>
      <c r="M10" t="s">
        <v>153</v>
      </c>
      <c r="N10" t="s">
        <v>91</v>
      </c>
      <c r="O10" t="s">
        <v>121</v>
      </c>
      <c r="P10" s="10">
        <v>50</v>
      </c>
      <c r="Q10" s="10"/>
      <c r="R10" t="s">
        <v>111</v>
      </c>
      <c r="S10" s="17">
        <v>150</v>
      </c>
      <c r="T10">
        <v>150</v>
      </c>
      <c r="U10" s="17">
        <v>150</v>
      </c>
      <c r="V10">
        <v>150</v>
      </c>
      <c r="W10" s="17">
        <v>150</v>
      </c>
      <c r="X10" s="17">
        <v>150</v>
      </c>
      <c r="Y10" s="17">
        <v>150</v>
      </c>
      <c r="Z10" s="17">
        <v>150</v>
      </c>
      <c r="AA10" s="17">
        <v>150</v>
      </c>
      <c r="AB10" s="1">
        <v>44124</v>
      </c>
      <c r="AC10" s="17" t="s">
        <v>179</v>
      </c>
      <c r="AD10" s="17" t="s">
        <v>179</v>
      </c>
    </row>
    <row r="11" spans="1:30" x14ac:dyDescent="0.25">
      <c r="A11" s="15">
        <v>44197</v>
      </c>
      <c r="B11" s="15">
        <v>44226</v>
      </c>
      <c r="C11" s="15" t="s">
        <v>174</v>
      </c>
      <c r="D11" s="12"/>
      <c r="E11" s="12">
        <v>122</v>
      </c>
      <c r="F11" s="12">
        <v>122</v>
      </c>
      <c r="G11" s="10">
        <v>122</v>
      </c>
      <c r="H11" t="s">
        <v>175</v>
      </c>
      <c r="I11" t="s">
        <v>2</v>
      </c>
      <c r="J11" t="s">
        <v>30</v>
      </c>
      <c r="K11" s="13" t="s">
        <v>18</v>
      </c>
      <c r="M11" t="s">
        <v>153</v>
      </c>
      <c r="N11" t="s">
        <v>99</v>
      </c>
      <c r="O11" t="s">
        <v>121</v>
      </c>
      <c r="P11" s="10" t="s">
        <v>176</v>
      </c>
      <c r="Q11" s="10"/>
      <c r="R11" t="s">
        <v>112</v>
      </c>
      <c r="S11" s="17"/>
      <c r="U11" s="17"/>
      <c r="W11" s="17"/>
      <c r="X11" s="17"/>
      <c r="Y11" s="17"/>
      <c r="Z11" s="17"/>
      <c r="AA11" s="17"/>
      <c r="AB11" s="1">
        <v>44124</v>
      </c>
      <c r="AC11" s="17" t="s">
        <v>179</v>
      </c>
      <c r="AD11" s="17" t="s">
        <v>179</v>
      </c>
    </row>
    <row r="12" spans="1:30" x14ac:dyDescent="0.25">
      <c r="A12" s="15"/>
      <c r="B12" s="15"/>
      <c r="C12" s="15"/>
      <c r="D12" s="12"/>
      <c r="E12" s="12"/>
      <c r="F12" s="12"/>
      <c r="G12" s="10"/>
      <c r="K12" s="13"/>
      <c r="P12" s="10"/>
      <c r="Q12" s="10"/>
      <c r="S12" s="17"/>
      <c r="U12" s="17"/>
      <c r="W12" s="17"/>
      <c r="X12" s="17"/>
      <c r="Y12" s="17"/>
      <c r="Z12" s="17"/>
      <c r="AA12" s="17"/>
      <c r="AB12" s="1"/>
      <c r="AC12" s="17"/>
      <c r="AD12" s="17"/>
    </row>
  </sheetData>
  <mergeCells count="5">
    <mergeCell ref="A1:AA1"/>
    <mergeCell ref="C3:G3"/>
    <mergeCell ref="C4:G4"/>
    <mergeCell ref="E5:F5"/>
    <mergeCell ref="C5:D5"/>
  </mergeCells>
  <pageMargins left="0.51181102362204722" right="0.51181102362204722" top="0.78740157480314965" bottom="0.78740157480314965" header="0.31496062992125984" footer="0.31496062992125984"/>
  <pageSetup paperSize="9" scale="7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C0D9FBC2-E99C-45E5-9E4D-3F74D5DE43A7}">
          <x14:formula1>
            <xm:f>CadSeguradora!$B$2:$B$22</xm:f>
          </x14:formula1>
          <xm:sqref>C4</xm:sqref>
        </x14:dataValidation>
        <x14:dataValidation type="list" allowBlank="1" showInputMessage="1" showErrorMessage="1" xr:uid="{2756B05D-3D76-4669-9F7B-1FDEE00DA2E3}">
          <x14:formula1>
            <xm:f>CadPerito!$A$2:$A$21</xm:f>
          </x14:formula1>
          <xm:sqref>C3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F7707-F95E-4841-8B03-98E75D6CEE1C}">
  <sheetPr codeName="Planilha12">
    <pageSetUpPr fitToPage="1"/>
  </sheetPr>
  <dimension ref="A1:AF21"/>
  <sheetViews>
    <sheetView topLeftCell="C1" zoomScaleNormal="100" workbookViewId="0">
      <selection activeCell="S6" sqref="S6"/>
    </sheetView>
  </sheetViews>
  <sheetFormatPr defaultRowHeight="15" x14ac:dyDescent="0.25"/>
  <cols>
    <col min="1" max="2" width="12.85546875" hidden="1" customWidth="1"/>
    <col min="3" max="3" width="12.85546875" customWidth="1"/>
    <col min="4" max="4" width="12.85546875" hidden="1" customWidth="1"/>
    <col min="5" max="8" width="12.85546875" customWidth="1"/>
    <col min="9" max="9" width="3.42578125" bestFit="1" customWidth="1"/>
    <col min="10" max="11" width="12.85546875" hidden="1" customWidth="1"/>
    <col min="12" max="12" width="18.140625" bestFit="1" customWidth="1"/>
    <col min="13" max="13" width="12.85546875" hidden="1" customWidth="1"/>
    <col min="14" max="14" width="9.140625" bestFit="1" customWidth="1"/>
    <col min="15" max="15" width="11.42578125" bestFit="1" customWidth="1"/>
    <col min="16" max="16" width="8.85546875" bestFit="1" customWidth="1"/>
    <col min="17" max="17" width="11.85546875" bestFit="1" customWidth="1"/>
    <col min="18" max="18" width="17.85546875" bestFit="1" customWidth="1"/>
    <col min="19" max="19" width="18.42578125" bestFit="1" customWidth="1"/>
    <col min="20" max="20" width="10.7109375" bestFit="1" customWidth="1"/>
    <col min="21" max="21" width="10.140625" bestFit="1" customWidth="1"/>
    <col min="22" max="26" width="12.85546875" hidden="1" customWidth="1"/>
    <col min="27" max="27" width="12.85546875" customWidth="1"/>
    <col min="28" max="32" width="17.140625" hidden="1" customWidth="1"/>
  </cols>
  <sheetData>
    <row r="1" spans="1:32" ht="39" customHeight="1" thickBot="1" x14ac:dyDescent="0.4">
      <c r="A1" s="63" t="s">
        <v>186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32"/>
      <c r="W1" s="32"/>
      <c r="X1" s="32"/>
      <c r="Y1" s="32"/>
      <c r="Z1" s="32"/>
      <c r="AA1" s="33"/>
    </row>
    <row r="2" spans="1:32" x14ac:dyDescent="0.25">
      <c r="C2" t="s">
        <v>182</v>
      </c>
      <c r="E2" s="28">
        <v>43101</v>
      </c>
      <c r="F2" s="26" t="s">
        <v>181</v>
      </c>
      <c r="G2" s="28">
        <v>44227</v>
      </c>
      <c r="AB2" s="6" t="s">
        <v>47</v>
      </c>
      <c r="AC2" s="6" t="s">
        <v>47</v>
      </c>
      <c r="AD2" s="4" t="s">
        <v>53</v>
      </c>
      <c r="AE2" s="4" t="s">
        <v>158</v>
      </c>
      <c r="AF2" s="4" t="s">
        <v>187</v>
      </c>
    </row>
    <row r="3" spans="1:32" x14ac:dyDescent="0.25">
      <c r="C3" s="27" t="s">
        <v>183</v>
      </c>
      <c r="E3" s="65" t="s">
        <v>91</v>
      </c>
      <c r="F3" s="65"/>
      <c r="AB3" s="30" t="str">
        <f>"&gt;="&amp;IF($E$2="",0,$E$2)</f>
        <v>&gt;=43101</v>
      </c>
      <c r="AC3" s="30" t="str">
        <f>"&lt;="&amp;IF($G$2="",99999,$G$2)</f>
        <v>&lt;=44227</v>
      </c>
      <c r="AD3" s="30" t="str">
        <f>IF($E$3&lt;&gt;"",$E$3,"")</f>
        <v>Marcilio</v>
      </c>
      <c r="AE3" s="30" t="str">
        <f>IF($E$4&lt;&gt;"",$E$4,"")</f>
        <v/>
      </c>
      <c r="AF3" t="str">
        <f>IF($E$5&lt;&gt;"",$E$5,"")</f>
        <v/>
      </c>
    </row>
    <row r="4" spans="1:32" x14ac:dyDescent="0.25">
      <c r="C4" s="27" t="s">
        <v>184</v>
      </c>
      <c r="E4" s="65"/>
      <c r="F4" s="65"/>
    </row>
    <row r="5" spans="1:32" x14ac:dyDescent="0.25">
      <c r="C5" s="31" t="s">
        <v>188</v>
      </c>
      <c r="E5" s="65"/>
      <c r="F5" s="65"/>
    </row>
    <row r="6" spans="1:32" x14ac:dyDescent="0.25">
      <c r="A6" s="6" t="s">
        <v>157</v>
      </c>
      <c r="B6" s="4" t="s">
        <v>46</v>
      </c>
      <c r="C6" s="6" t="s">
        <v>47</v>
      </c>
      <c r="D6" s="6" t="s">
        <v>162</v>
      </c>
      <c r="E6" s="4" t="s">
        <v>48</v>
      </c>
      <c r="F6" s="4" t="s">
        <v>64</v>
      </c>
      <c r="G6" s="4" t="s">
        <v>49</v>
      </c>
      <c r="H6" s="4" t="s">
        <v>50</v>
      </c>
      <c r="I6" s="4" t="s">
        <v>51</v>
      </c>
      <c r="J6" s="4" t="s">
        <v>52</v>
      </c>
      <c r="K6" s="4" t="s">
        <v>53</v>
      </c>
      <c r="L6" s="16" t="s">
        <v>54</v>
      </c>
      <c r="M6" s="4" t="s">
        <v>55</v>
      </c>
      <c r="N6" s="16" t="s">
        <v>146</v>
      </c>
      <c r="O6" s="16" t="s">
        <v>56</v>
      </c>
      <c r="P6" s="16" t="s">
        <v>57</v>
      </c>
      <c r="Q6" s="16" t="s">
        <v>58</v>
      </c>
      <c r="R6" s="16" t="s">
        <v>177</v>
      </c>
      <c r="S6" s="16" t="s">
        <v>59</v>
      </c>
      <c r="T6" s="16" t="s">
        <v>60</v>
      </c>
      <c r="U6" s="16" t="s">
        <v>61</v>
      </c>
      <c r="V6" s="4" t="s">
        <v>158</v>
      </c>
      <c r="W6" s="4" t="s">
        <v>187</v>
      </c>
      <c r="X6" s="4" t="s">
        <v>45</v>
      </c>
      <c r="Y6" s="4" t="s">
        <v>159</v>
      </c>
      <c r="Z6" s="14" t="s">
        <v>171</v>
      </c>
    </row>
    <row r="7" spans="1:32" x14ac:dyDescent="0.25">
      <c r="A7" s="1">
        <v>43863</v>
      </c>
      <c r="C7" s="1">
        <v>43863</v>
      </c>
      <c r="D7" s="1">
        <v>43863</v>
      </c>
      <c r="E7">
        <v>12</v>
      </c>
      <c r="F7">
        <v>7</v>
      </c>
      <c r="G7" t="s">
        <v>140</v>
      </c>
      <c r="H7" t="s">
        <v>30</v>
      </c>
      <c r="I7" t="s">
        <v>18</v>
      </c>
      <c r="J7" t="s">
        <v>145</v>
      </c>
      <c r="K7" t="s">
        <v>91</v>
      </c>
      <c r="L7" s="17"/>
      <c r="N7" s="17"/>
      <c r="O7" s="17"/>
      <c r="P7" s="17"/>
      <c r="Q7" s="17"/>
      <c r="R7" s="17"/>
      <c r="S7" s="17"/>
      <c r="T7" s="17"/>
      <c r="U7" s="17"/>
      <c r="V7" t="s">
        <v>110</v>
      </c>
      <c r="W7" s="17" t="s">
        <v>179</v>
      </c>
      <c r="X7" s="17" t="s">
        <v>179</v>
      </c>
      <c r="Y7" t="s">
        <v>103</v>
      </c>
      <c r="Z7" s="15" t="s">
        <v>144</v>
      </c>
    </row>
    <row r="8" spans="1:32" x14ac:dyDescent="0.25">
      <c r="A8" s="1">
        <v>43863</v>
      </c>
      <c r="C8" s="1">
        <v>43863</v>
      </c>
      <c r="D8" s="1">
        <v>43863</v>
      </c>
      <c r="E8">
        <v>1202</v>
      </c>
      <c r="F8">
        <v>121</v>
      </c>
      <c r="G8" t="s">
        <v>150</v>
      </c>
      <c r="H8" t="s">
        <v>30</v>
      </c>
      <c r="I8" t="s">
        <v>18</v>
      </c>
      <c r="J8" t="s">
        <v>109</v>
      </c>
      <c r="K8" t="s">
        <v>91</v>
      </c>
      <c r="L8" s="17"/>
      <c r="N8" s="17"/>
      <c r="O8" s="17"/>
      <c r="P8" s="17"/>
      <c r="Q8" s="17"/>
      <c r="R8" s="17"/>
      <c r="S8" s="17"/>
      <c r="T8" s="17"/>
      <c r="U8" s="17"/>
      <c r="V8" t="s">
        <v>112</v>
      </c>
      <c r="W8" s="17" t="s">
        <v>179</v>
      </c>
      <c r="X8" s="17" t="s">
        <v>179</v>
      </c>
      <c r="Y8" t="s">
        <v>103</v>
      </c>
      <c r="Z8" s="15" t="s">
        <v>151</v>
      </c>
    </row>
    <row r="9" spans="1:32" x14ac:dyDescent="0.25">
      <c r="A9" s="1">
        <v>44197</v>
      </c>
      <c r="C9" s="1">
        <v>44197</v>
      </c>
      <c r="D9" s="1">
        <v>44197</v>
      </c>
      <c r="F9">
        <v>10021</v>
      </c>
      <c r="G9" t="s">
        <v>124</v>
      </c>
      <c r="H9" t="s">
        <v>30</v>
      </c>
      <c r="I9" t="s">
        <v>18</v>
      </c>
      <c r="J9" t="s">
        <v>156</v>
      </c>
      <c r="K9" t="s">
        <v>91</v>
      </c>
      <c r="L9" s="17"/>
      <c r="N9" s="17"/>
      <c r="O9" s="17"/>
      <c r="P9" s="17"/>
      <c r="Q9" s="17"/>
      <c r="R9" s="17"/>
      <c r="S9" s="17"/>
      <c r="T9" s="17"/>
      <c r="U9" s="17"/>
      <c r="V9" t="s">
        <v>115</v>
      </c>
      <c r="W9" s="17" t="s">
        <v>179</v>
      </c>
      <c r="X9" s="17" t="s">
        <v>179</v>
      </c>
      <c r="Y9" t="s">
        <v>103</v>
      </c>
      <c r="Z9" s="15" t="s">
        <v>92</v>
      </c>
    </row>
    <row r="10" spans="1:32" x14ac:dyDescent="0.25">
      <c r="A10" s="1"/>
      <c r="C10" s="1"/>
      <c r="D10" s="1"/>
      <c r="L10" s="17"/>
      <c r="N10" s="17"/>
      <c r="O10" s="17"/>
      <c r="P10" s="17"/>
      <c r="Q10" s="17"/>
      <c r="R10" s="17"/>
      <c r="S10" s="17"/>
      <c r="T10" s="17"/>
      <c r="U10" s="17"/>
      <c r="W10" s="17"/>
      <c r="X10" s="17"/>
      <c r="Z10" s="15"/>
    </row>
    <row r="11" spans="1:32" x14ac:dyDescent="0.25">
      <c r="A11" s="1"/>
      <c r="C11" s="1"/>
      <c r="D11" s="1"/>
      <c r="L11" s="17"/>
      <c r="N11" s="17"/>
      <c r="O11" s="17"/>
      <c r="P11" s="17"/>
      <c r="Q11" s="17"/>
      <c r="R11" s="17"/>
      <c r="S11" s="17"/>
      <c r="T11" s="17"/>
      <c r="U11" s="17"/>
      <c r="W11" s="17"/>
      <c r="X11" s="17"/>
      <c r="Z11" s="15"/>
    </row>
    <row r="12" spans="1:32" x14ac:dyDescent="0.25">
      <c r="A12" s="1"/>
      <c r="C12" s="1"/>
      <c r="D12" s="1"/>
      <c r="E12" s="1"/>
      <c r="L12" s="17"/>
      <c r="N12" s="17"/>
      <c r="O12" s="17"/>
      <c r="P12" s="17"/>
      <c r="Q12" s="17"/>
      <c r="R12" s="17"/>
      <c r="S12" s="17"/>
      <c r="T12" s="17"/>
      <c r="U12" s="17"/>
      <c r="W12" s="17"/>
      <c r="X12" s="17"/>
      <c r="Z12" s="15"/>
    </row>
    <row r="13" spans="1:32" x14ac:dyDescent="0.25">
      <c r="A13" s="1"/>
      <c r="C13" s="1"/>
      <c r="D13" s="1"/>
      <c r="L13" s="17"/>
      <c r="N13" s="17"/>
      <c r="O13" s="17"/>
      <c r="P13" s="17"/>
      <c r="Q13" s="17"/>
      <c r="R13" s="17"/>
      <c r="S13" s="17"/>
      <c r="T13" s="17"/>
      <c r="U13" s="17"/>
      <c r="W13" s="17"/>
      <c r="X13" s="17"/>
      <c r="Z13" s="15"/>
    </row>
    <row r="14" spans="1:32" x14ac:dyDescent="0.25">
      <c r="A14" s="1"/>
      <c r="C14" s="1"/>
      <c r="D14" s="1"/>
      <c r="L14" s="17"/>
      <c r="N14" s="17"/>
      <c r="O14" s="17"/>
      <c r="P14" s="17"/>
      <c r="Q14" s="17"/>
      <c r="R14" s="17"/>
      <c r="S14" s="17"/>
      <c r="T14" s="17"/>
      <c r="U14" s="17"/>
      <c r="W14" s="17"/>
      <c r="X14" s="17"/>
      <c r="Z14" s="15"/>
    </row>
    <row r="15" spans="1:32" x14ac:dyDescent="0.25">
      <c r="A15" s="1"/>
      <c r="C15" s="1"/>
      <c r="D15" s="1"/>
      <c r="L15" s="17"/>
      <c r="N15" s="17"/>
      <c r="O15" s="17"/>
      <c r="P15" s="17"/>
      <c r="Q15" s="17"/>
      <c r="R15" s="17"/>
      <c r="S15" s="17"/>
      <c r="T15" s="17"/>
      <c r="U15" s="17"/>
      <c r="W15" s="17"/>
      <c r="X15" s="17"/>
      <c r="Z15" s="15"/>
    </row>
    <row r="16" spans="1:32" x14ac:dyDescent="0.25">
      <c r="A16" s="1"/>
      <c r="C16" s="1"/>
      <c r="D16" s="1"/>
      <c r="L16" s="17"/>
      <c r="N16" s="17"/>
      <c r="O16" s="17"/>
      <c r="P16" s="17"/>
      <c r="Q16" s="17"/>
      <c r="R16" s="17"/>
      <c r="S16" s="17"/>
      <c r="T16" s="17"/>
      <c r="U16" s="17"/>
      <c r="W16" s="17"/>
      <c r="X16" s="17"/>
      <c r="Z16" s="15"/>
    </row>
    <row r="17" spans="1:26" x14ac:dyDescent="0.25">
      <c r="A17" s="1"/>
      <c r="C17" s="1"/>
      <c r="D17" s="1"/>
      <c r="L17" s="17"/>
      <c r="N17" s="17"/>
      <c r="O17" s="17"/>
      <c r="P17" s="17"/>
      <c r="Q17" s="17"/>
      <c r="R17" s="17"/>
      <c r="S17" s="17"/>
      <c r="T17" s="17"/>
      <c r="U17" s="17"/>
      <c r="W17" s="17"/>
      <c r="X17" s="17"/>
      <c r="Z17" s="15"/>
    </row>
    <row r="18" spans="1:26" x14ac:dyDescent="0.25">
      <c r="A18" s="1"/>
      <c r="C18" s="1"/>
      <c r="D18" s="1"/>
      <c r="L18" s="17"/>
      <c r="N18" s="17"/>
      <c r="O18" s="17"/>
      <c r="P18" s="17"/>
      <c r="Q18" s="17"/>
      <c r="R18" s="17"/>
      <c r="S18" s="17"/>
      <c r="T18" s="17"/>
      <c r="U18" s="17"/>
      <c r="W18" s="17"/>
      <c r="X18" s="17"/>
      <c r="Z18" s="15"/>
    </row>
    <row r="19" spans="1:26" x14ac:dyDescent="0.25">
      <c r="A19" s="1"/>
      <c r="C19" s="1"/>
      <c r="D19" s="1"/>
      <c r="L19" s="17"/>
      <c r="N19" s="17"/>
      <c r="O19" s="17"/>
      <c r="P19" s="17"/>
      <c r="Q19" s="17"/>
      <c r="R19" s="17"/>
      <c r="S19" s="17"/>
      <c r="T19" s="17"/>
      <c r="U19" s="17"/>
      <c r="W19" s="17"/>
      <c r="X19" s="17"/>
      <c r="Z19" s="15"/>
    </row>
    <row r="20" spans="1:26" x14ac:dyDescent="0.25">
      <c r="A20" s="1"/>
      <c r="C20" s="1"/>
      <c r="D20" s="1"/>
      <c r="L20" s="17"/>
      <c r="N20" s="17"/>
      <c r="O20" s="17"/>
      <c r="P20" s="17"/>
      <c r="Q20" s="17"/>
      <c r="R20" s="17"/>
      <c r="S20" s="17"/>
      <c r="T20" s="17"/>
      <c r="U20" s="17"/>
      <c r="W20" s="17"/>
      <c r="X20" s="17"/>
      <c r="Z20" s="15"/>
    </row>
    <row r="21" spans="1:26" x14ac:dyDescent="0.25">
      <c r="A21" s="1"/>
      <c r="C21" s="1"/>
      <c r="D21" s="1"/>
      <c r="L21" s="17"/>
      <c r="N21" s="17"/>
      <c r="O21" s="17"/>
      <c r="P21" s="17"/>
      <c r="Q21" s="17"/>
      <c r="R21" s="17"/>
      <c r="S21" s="17"/>
      <c r="T21" s="17"/>
      <c r="U21" s="17"/>
      <c r="W21" s="17"/>
      <c r="X21" s="17"/>
      <c r="Z21" s="15"/>
    </row>
  </sheetData>
  <sortState xmlns:xlrd2="http://schemas.microsoft.com/office/spreadsheetml/2017/richdata2" ref="C7:U21">
    <sortCondition ref="C7:C21"/>
  </sortState>
  <mergeCells count="4">
    <mergeCell ref="E3:F3"/>
    <mergeCell ref="E5:F5"/>
    <mergeCell ref="E4:F4"/>
    <mergeCell ref="A1:U1"/>
  </mergeCells>
  <pageMargins left="0.511811024" right="0.511811024" top="0.78740157499999996" bottom="0.78740157499999996" header="0.31496062000000002" footer="0.31496062000000002"/>
  <pageSetup paperSize="9" scale="73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5D31B5-BA79-4343-B12F-DDA32A851FB7}">
          <x14:formula1>
            <xm:f>CadPerito!$A$2:$A$22</xm:f>
          </x14:formula1>
          <xm:sqref>E3:F3</xm:sqref>
        </x14:dataValidation>
        <x14:dataValidation type="list" allowBlank="1" showInputMessage="1" showErrorMessage="1" xr:uid="{BF328E64-39B8-49A5-A24D-0C0420AC2B20}">
          <x14:formula1>
            <xm:f>CadSeguradora!$B$2:$B$22</xm:f>
          </x14:formula1>
          <xm:sqref>E4:F4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8"/>
  <sheetViews>
    <sheetView workbookViewId="0">
      <selection activeCell="B2" sqref="B2:B8"/>
    </sheetView>
  </sheetViews>
  <sheetFormatPr defaultRowHeight="15" x14ac:dyDescent="0.25"/>
  <cols>
    <col min="1" max="6" width="22" customWidth="1"/>
  </cols>
  <sheetData>
    <row r="1" spans="1:6" ht="30" customHeight="1" x14ac:dyDescent="0.25">
      <c r="A1" s="7" t="s">
        <v>0</v>
      </c>
      <c r="B1" s="7" t="s">
        <v>163</v>
      </c>
      <c r="C1" s="7" t="s">
        <v>167</v>
      </c>
      <c r="D1" s="7" t="s">
        <v>146</v>
      </c>
      <c r="E1" s="7" t="s">
        <v>168</v>
      </c>
      <c r="F1" s="7" t="s">
        <v>169</v>
      </c>
    </row>
    <row r="2" spans="1:6" x14ac:dyDescent="0.25">
      <c r="A2" t="s">
        <v>97</v>
      </c>
      <c r="B2" t="s">
        <v>113</v>
      </c>
      <c r="C2" t="s">
        <v>149</v>
      </c>
      <c r="D2" s="17">
        <v>2.1</v>
      </c>
      <c r="E2" s="17">
        <v>60</v>
      </c>
      <c r="F2" s="17">
        <v>150</v>
      </c>
    </row>
    <row r="3" spans="1:6" x14ac:dyDescent="0.25">
      <c r="A3" t="s">
        <v>135</v>
      </c>
      <c r="B3" t="s">
        <v>112</v>
      </c>
      <c r="C3" t="s">
        <v>138</v>
      </c>
      <c r="D3" s="17">
        <v>1.3</v>
      </c>
      <c r="E3" s="17">
        <v>50</v>
      </c>
      <c r="F3" s="17">
        <v>150</v>
      </c>
    </row>
    <row r="4" spans="1:6" x14ac:dyDescent="0.25">
      <c r="A4" t="s">
        <v>136</v>
      </c>
      <c r="B4" t="s">
        <v>110</v>
      </c>
      <c r="D4" s="17">
        <v>1</v>
      </c>
      <c r="E4" s="17">
        <v>10</v>
      </c>
      <c r="F4" s="17">
        <v>10</v>
      </c>
    </row>
    <row r="5" spans="1:6" x14ac:dyDescent="0.25">
      <c r="A5" t="s">
        <v>137</v>
      </c>
      <c r="B5" t="s">
        <v>115</v>
      </c>
      <c r="C5" t="s">
        <v>98</v>
      </c>
      <c r="D5" s="17">
        <v>1</v>
      </c>
      <c r="E5" s="17">
        <v>1</v>
      </c>
      <c r="F5" s="17">
        <v>10</v>
      </c>
    </row>
    <row r="6" spans="1:6" x14ac:dyDescent="0.25">
      <c r="A6" t="s">
        <v>97</v>
      </c>
      <c r="B6" t="s">
        <v>111</v>
      </c>
      <c r="C6" t="s">
        <v>148</v>
      </c>
      <c r="D6" s="17">
        <v>1</v>
      </c>
      <c r="E6" s="17">
        <v>25</v>
      </c>
      <c r="F6" s="17">
        <v>10</v>
      </c>
    </row>
    <row r="7" spans="1:6" x14ac:dyDescent="0.25">
      <c r="A7" t="s">
        <v>97</v>
      </c>
      <c r="B7" t="s">
        <v>236</v>
      </c>
      <c r="C7" t="s">
        <v>237</v>
      </c>
      <c r="D7" s="17">
        <v>50</v>
      </c>
      <c r="E7" s="17" t="s">
        <v>206</v>
      </c>
      <c r="F7" s="17"/>
    </row>
    <row r="8" spans="1:6" x14ac:dyDescent="0.25">
      <c r="A8" t="s">
        <v>97</v>
      </c>
      <c r="B8" t="s">
        <v>238</v>
      </c>
      <c r="C8" t="s">
        <v>239</v>
      </c>
      <c r="D8" s="17">
        <v>150</v>
      </c>
      <c r="E8" s="17" t="s">
        <v>206</v>
      </c>
      <c r="F8" s="1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5"/>
  <sheetViews>
    <sheetView workbookViewId="0">
      <selection activeCell="B5" sqref="B5"/>
    </sheetView>
  </sheetViews>
  <sheetFormatPr defaultRowHeight="15" x14ac:dyDescent="0.25"/>
  <cols>
    <col min="1" max="1" width="35.85546875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8" customFormat="1" ht="30" customHeight="1" x14ac:dyDescent="0.25">
      <c r="A1" s="7" t="s">
        <v>163</v>
      </c>
      <c r="B1" s="7" t="s">
        <v>164</v>
      </c>
      <c r="C1" s="7" t="s">
        <v>165</v>
      </c>
      <c r="D1" s="7" t="s">
        <v>166</v>
      </c>
      <c r="E1" s="7" t="s">
        <v>96</v>
      </c>
    </row>
    <row r="2" spans="1:5" x14ac:dyDescent="0.25">
      <c r="A2" t="s">
        <v>91</v>
      </c>
      <c r="B2" t="s">
        <v>2</v>
      </c>
      <c r="C2" t="s">
        <v>2</v>
      </c>
    </row>
    <row r="3" spans="1:5" x14ac:dyDescent="0.25">
      <c r="A3" t="s">
        <v>99</v>
      </c>
      <c r="B3" t="s">
        <v>100</v>
      </c>
      <c r="C3" t="s">
        <v>101</v>
      </c>
      <c r="D3">
        <v>1000125</v>
      </c>
      <c r="E3">
        <v>3627117980</v>
      </c>
    </row>
    <row r="4" spans="1:5" x14ac:dyDescent="0.25">
      <c r="A4" t="s">
        <v>116</v>
      </c>
      <c r="B4" t="s">
        <v>100</v>
      </c>
      <c r="C4" t="s">
        <v>101</v>
      </c>
      <c r="D4">
        <v>1000125</v>
      </c>
      <c r="E4">
        <v>3627117980</v>
      </c>
    </row>
    <row r="5" spans="1:5" x14ac:dyDescent="0.25">
      <c r="A5" t="s">
        <v>117</v>
      </c>
      <c r="B5" t="s">
        <v>100</v>
      </c>
      <c r="C5" t="s">
        <v>101</v>
      </c>
      <c r="D5">
        <v>1000125</v>
      </c>
      <c r="E5">
        <v>3627117980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153</v>
      </c>
    </row>
    <row r="2" spans="1:1" x14ac:dyDescent="0.25">
      <c r="A2" t="s">
        <v>154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120</v>
      </c>
    </row>
    <row r="2" spans="1:1" x14ac:dyDescent="0.25">
      <c r="A2" t="s">
        <v>121</v>
      </c>
    </row>
    <row r="3" spans="1:1" x14ac:dyDescent="0.25">
      <c r="A3" t="s">
        <v>122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102</v>
      </c>
    </row>
    <row r="2" spans="1:1" x14ac:dyDescent="0.25">
      <c r="A2" t="s">
        <v>103</v>
      </c>
    </row>
    <row r="3" spans="1:1" x14ac:dyDescent="0.25">
      <c r="A3" t="s">
        <v>104</v>
      </c>
    </row>
    <row r="4" spans="1:1" x14ac:dyDescent="0.25">
      <c r="A4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118</v>
      </c>
    </row>
    <row r="2" spans="1:1" x14ac:dyDescent="0.25">
      <c r="A2" t="s">
        <v>147</v>
      </c>
    </row>
    <row r="3" spans="1:1" x14ac:dyDescent="0.25">
      <c r="A3" t="s">
        <v>119</v>
      </c>
    </row>
    <row r="4" spans="1:1" x14ac:dyDescent="0.25">
      <c r="A4" t="s">
        <v>121</v>
      </c>
    </row>
    <row r="5" spans="1:1" x14ac:dyDescent="0.25">
      <c r="A5" t="s">
        <v>122</v>
      </c>
    </row>
    <row r="6" spans="1:1" x14ac:dyDescent="0.25">
      <c r="A6" t="s">
        <v>130</v>
      </c>
    </row>
    <row r="7" spans="1:1" x14ac:dyDescent="0.25">
      <c r="A7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18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17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21</vt:i4>
      </vt:variant>
      <vt:variant>
        <vt:lpstr>Intervalos Nomeados</vt:lpstr>
      </vt:variant>
      <vt:variant>
        <vt:i4>18</vt:i4>
      </vt:variant>
    </vt:vector>
  </HeadingPairs>
  <TitlesOfParts>
    <vt:vector size="39" baseType="lpstr">
      <vt:lpstr>Inicial</vt:lpstr>
      <vt:lpstr>ContasApagar</vt:lpstr>
      <vt:lpstr>TbDinamicaApagar</vt:lpstr>
      <vt:lpstr>DashboardApagar</vt:lpstr>
      <vt:lpstr>ContasAreceber</vt:lpstr>
      <vt:lpstr>DashboardAReceber</vt:lpstr>
      <vt:lpstr>TbDinamicaReceber</vt:lpstr>
      <vt:lpstr>RelContasApagar</vt:lpstr>
      <vt:lpstr>RelContasAReceber</vt:lpstr>
      <vt:lpstr>CadPenhor</vt:lpstr>
      <vt:lpstr>CadPericia</vt:lpstr>
      <vt:lpstr>RelPericiaPerito</vt:lpstr>
      <vt:lpstr>RelPenhoPerito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RelPenhoPerito!Area_de_extracao</vt:lpstr>
      <vt:lpstr>RelPericiaPerito!Area_de_extracao</vt:lpstr>
      <vt:lpstr>cidades</vt:lpstr>
      <vt:lpstr>RelContasApagar!Criterios</vt:lpstr>
      <vt:lpstr>RelContasAReceber!Criterios</vt:lpstr>
      <vt:lpstr>RelPenhoPerito!Criterios</vt:lpstr>
      <vt:lpstr>RelPericiaPerito!Criterios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2021-02-19T17:23:00Z</cp:lastPrinted>
  <dcterms:created xsi:type="dcterms:W3CDTF">2021-01-16T20:15:46Z</dcterms:created>
  <dcterms:modified xsi:type="dcterms:W3CDTF">2021-02-21T17:52:58Z</dcterms:modified>
</cp:coreProperties>
</file>